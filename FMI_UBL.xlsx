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jects_BBA\SEM VI\Financial Markets &amp; Institutions_Sem VI\"/>
    </mc:Choice>
  </mc:AlternateContent>
  <xr:revisionPtr revIDLastSave="0" documentId="13_ncr:1_{C4A9B60B-DA3B-439F-AB8A-F43935003CC8}" xr6:coauthVersionLast="47" xr6:coauthVersionMax="47" xr10:uidLastSave="{00000000-0000-0000-0000-000000000000}"/>
  <bookViews>
    <workbookView xWindow="-108" yWindow="-108" windowWidth="23256" windowHeight="13176" firstSheet="3" activeTab="8" xr2:uid="{CC003AF1-F39F-46A0-BFB7-2862175DF287}"/>
  </bookViews>
  <sheets>
    <sheet name="Record Data" sheetId="2" r:id="rId1"/>
    <sheet name="Covered Call" sheetId="8" r:id="rId2"/>
    <sheet name="Protective Put" sheetId="9" r:id="rId3"/>
    <sheet name="Bull Call Spread" sheetId="11" r:id="rId4"/>
    <sheet name="Bull Put Spread" sheetId="12" r:id="rId5"/>
    <sheet name="Bear Call Spread" sheetId="13" r:id="rId6"/>
    <sheet name="Bear Put Spread" sheetId="14" r:id="rId7"/>
    <sheet name="Long Straddle" sheetId="15" r:id="rId8"/>
    <sheet name="Short Straddle" sheetId="16" r:id="rId9"/>
    <sheet name="Long Strangle" sheetId="17" r:id="rId10"/>
    <sheet name="Short Strangle" sheetId="18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8" l="1"/>
  <c r="I7" i="14"/>
  <c r="H7" i="14"/>
  <c r="H32" i="14"/>
  <c r="H31" i="14"/>
  <c r="H30" i="14"/>
  <c r="I30" i="14" s="1"/>
  <c r="H29" i="14"/>
  <c r="I29" i="14" s="1"/>
  <c r="J29" i="14" s="1"/>
  <c r="H28" i="14"/>
  <c r="I28" i="14" s="1"/>
  <c r="H27" i="14"/>
  <c r="I27" i="14" s="1"/>
  <c r="J27" i="14" s="1"/>
  <c r="H26" i="14"/>
  <c r="H25" i="14"/>
  <c r="H24" i="14"/>
  <c r="H23" i="14"/>
  <c r="H22" i="14"/>
  <c r="I21" i="14"/>
  <c r="H21" i="14"/>
  <c r="J21" i="14" s="1"/>
  <c r="H20" i="14"/>
  <c r="I20" i="14" s="1"/>
  <c r="H19" i="14"/>
  <c r="I19" i="14" s="1"/>
  <c r="J19" i="14" s="1"/>
  <c r="H18" i="14"/>
  <c r="H17" i="14"/>
  <c r="H16" i="14"/>
  <c r="H15" i="14"/>
  <c r="I14" i="14"/>
  <c r="H14" i="14"/>
  <c r="H13" i="14"/>
  <c r="H12" i="14"/>
  <c r="H11" i="14"/>
  <c r="I11" i="14" s="1"/>
  <c r="J11" i="14" s="1"/>
  <c r="H10" i="14"/>
  <c r="I10" i="14" s="1"/>
  <c r="J10" i="14" s="1"/>
  <c r="H9" i="14"/>
  <c r="H8" i="14"/>
  <c r="I7" i="15"/>
  <c r="H7" i="15"/>
  <c r="I7" i="13"/>
  <c r="H7" i="13"/>
  <c r="H7" i="12"/>
  <c r="J7" i="12" s="1"/>
  <c r="I7" i="12"/>
  <c r="H7" i="11" a="1"/>
  <c r="H7" i="11" s="1"/>
  <c r="J7" i="11" s="1"/>
  <c r="I7" i="11"/>
  <c r="G8" i="9"/>
  <c r="H8" i="9" s="1"/>
  <c r="I32" i="18"/>
  <c r="H32" i="18"/>
  <c r="I31" i="18"/>
  <c r="H31" i="18"/>
  <c r="I30" i="18"/>
  <c r="H30" i="18"/>
  <c r="I29" i="18"/>
  <c r="H29" i="18"/>
  <c r="I28" i="18"/>
  <c r="H28" i="18"/>
  <c r="I27" i="18"/>
  <c r="H27" i="18"/>
  <c r="I26" i="18"/>
  <c r="H26" i="18"/>
  <c r="I25" i="18"/>
  <c r="H25" i="18"/>
  <c r="I24" i="18"/>
  <c r="H24" i="18"/>
  <c r="I23" i="18"/>
  <c r="H23" i="18"/>
  <c r="I22" i="18"/>
  <c r="H22" i="18"/>
  <c r="I21" i="18"/>
  <c r="H21" i="18"/>
  <c r="I20" i="18"/>
  <c r="H20" i="18"/>
  <c r="I19" i="18"/>
  <c r="H19" i="18"/>
  <c r="I18" i="18"/>
  <c r="H18" i="18"/>
  <c r="I17" i="18"/>
  <c r="H17" i="18"/>
  <c r="I16" i="18"/>
  <c r="H16" i="18"/>
  <c r="I15" i="18"/>
  <c r="H15" i="18"/>
  <c r="I14" i="18"/>
  <c r="H14" i="18"/>
  <c r="I13" i="18"/>
  <c r="H13" i="18"/>
  <c r="I12" i="18"/>
  <c r="H12" i="18"/>
  <c r="I11" i="18"/>
  <c r="H11" i="18"/>
  <c r="I10" i="18"/>
  <c r="H10" i="18"/>
  <c r="I9" i="18"/>
  <c r="H9" i="18"/>
  <c r="I8" i="18"/>
  <c r="H8" i="18"/>
  <c r="I7" i="18"/>
  <c r="H7" i="18"/>
  <c r="B7" i="18"/>
  <c r="I33" i="17"/>
  <c r="H33" i="17"/>
  <c r="I32" i="17"/>
  <c r="H32" i="17"/>
  <c r="I31" i="17"/>
  <c r="H31" i="17"/>
  <c r="I30" i="17"/>
  <c r="H30" i="17"/>
  <c r="I29" i="17"/>
  <c r="H29" i="17"/>
  <c r="I28" i="17"/>
  <c r="H28" i="17"/>
  <c r="I27" i="17"/>
  <c r="H27" i="17"/>
  <c r="I26" i="17"/>
  <c r="H26" i="17"/>
  <c r="I25" i="17"/>
  <c r="H25" i="17"/>
  <c r="I24" i="17"/>
  <c r="H24" i="17"/>
  <c r="I23" i="17"/>
  <c r="H23" i="17"/>
  <c r="I22" i="17"/>
  <c r="H22" i="17"/>
  <c r="I21" i="17"/>
  <c r="H21" i="17"/>
  <c r="I20" i="17"/>
  <c r="H20" i="17"/>
  <c r="I19" i="17"/>
  <c r="H19" i="17"/>
  <c r="I18" i="17"/>
  <c r="H18" i="17"/>
  <c r="I17" i="17"/>
  <c r="H17" i="17"/>
  <c r="I16" i="17"/>
  <c r="H16" i="17"/>
  <c r="I15" i="17"/>
  <c r="H15" i="17"/>
  <c r="I14" i="17"/>
  <c r="H14" i="17"/>
  <c r="I13" i="17"/>
  <c r="H13" i="17"/>
  <c r="I12" i="17"/>
  <c r="H12" i="17"/>
  <c r="I11" i="17"/>
  <c r="H11" i="17"/>
  <c r="I10" i="17"/>
  <c r="H10" i="17"/>
  <c r="I9" i="17"/>
  <c r="H9" i="17"/>
  <c r="I8" i="17"/>
  <c r="H8" i="17"/>
  <c r="B8" i="17"/>
  <c r="J7" i="16"/>
  <c r="I8" i="16"/>
  <c r="H7" i="16"/>
  <c r="I7" i="16"/>
  <c r="I32" i="16"/>
  <c r="H32" i="16"/>
  <c r="I31" i="16"/>
  <c r="H31" i="16"/>
  <c r="I30" i="16"/>
  <c r="H30" i="16"/>
  <c r="I29" i="16"/>
  <c r="H29" i="16"/>
  <c r="I28" i="16"/>
  <c r="H28" i="16"/>
  <c r="I27" i="16"/>
  <c r="H27" i="16"/>
  <c r="I26" i="16"/>
  <c r="H26" i="16"/>
  <c r="I25" i="16"/>
  <c r="H25" i="16"/>
  <c r="I24" i="16"/>
  <c r="H24" i="16"/>
  <c r="I23" i="16"/>
  <c r="H23" i="16"/>
  <c r="I22" i="16"/>
  <c r="H22" i="16"/>
  <c r="I21" i="16"/>
  <c r="H21" i="16"/>
  <c r="I20" i="16"/>
  <c r="H20" i="16"/>
  <c r="I19" i="16"/>
  <c r="J19" i="16" s="1"/>
  <c r="H19" i="16"/>
  <c r="I18" i="16"/>
  <c r="H18" i="16"/>
  <c r="I17" i="16"/>
  <c r="H17" i="16"/>
  <c r="I16" i="16"/>
  <c r="H16" i="16"/>
  <c r="I15" i="16"/>
  <c r="H15" i="16"/>
  <c r="I14" i="16"/>
  <c r="H14" i="16"/>
  <c r="I13" i="16"/>
  <c r="H13" i="16"/>
  <c r="I12" i="16"/>
  <c r="H12" i="16"/>
  <c r="I11" i="16"/>
  <c r="H11" i="16"/>
  <c r="I10" i="16"/>
  <c r="H10" i="16"/>
  <c r="J10" i="16" s="1"/>
  <c r="I9" i="16"/>
  <c r="H9" i="16"/>
  <c r="H8" i="16"/>
  <c r="B6" i="16"/>
  <c r="I32" i="15"/>
  <c r="H32" i="15"/>
  <c r="I31" i="15"/>
  <c r="H31" i="15"/>
  <c r="I30" i="15"/>
  <c r="H30" i="15"/>
  <c r="I29" i="15"/>
  <c r="H29" i="15"/>
  <c r="I28" i="15"/>
  <c r="H28" i="15"/>
  <c r="I27" i="15"/>
  <c r="H27" i="15"/>
  <c r="I26" i="15"/>
  <c r="H26" i="15"/>
  <c r="I25" i="15"/>
  <c r="H25" i="15"/>
  <c r="I24" i="15"/>
  <c r="H24" i="15"/>
  <c r="I23" i="15"/>
  <c r="H23" i="15"/>
  <c r="I22" i="15"/>
  <c r="H22" i="15"/>
  <c r="I21" i="15"/>
  <c r="H21" i="15"/>
  <c r="I20" i="15"/>
  <c r="H20" i="15"/>
  <c r="I19" i="15"/>
  <c r="H19" i="15"/>
  <c r="I18" i="15"/>
  <c r="H18" i="15"/>
  <c r="I17" i="15"/>
  <c r="H17" i="15"/>
  <c r="I16" i="15"/>
  <c r="H16" i="15"/>
  <c r="I15" i="15"/>
  <c r="H15" i="15"/>
  <c r="I14" i="15"/>
  <c r="H14" i="15"/>
  <c r="I13" i="15"/>
  <c r="H13" i="15"/>
  <c r="I12" i="15"/>
  <c r="H12" i="15"/>
  <c r="I11" i="15"/>
  <c r="H11" i="15"/>
  <c r="I10" i="15"/>
  <c r="H10" i="15"/>
  <c r="I9" i="15"/>
  <c r="H9" i="15"/>
  <c r="I8" i="15"/>
  <c r="H8" i="15"/>
  <c r="B6" i="15"/>
  <c r="B6" i="14"/>
  <c r="I32" i="13"/>
  <c r="H32" i="13"/>
  <c r="I31" i="13"/>
  <c r="H31" i="13"/>
  <c r="I30" i="13"/>
  <c r="H30" i="13"/>
  <c r="I29" i="13"/>
  <c r="H29" i="13"/>
  <c r="I28" i="13"/>
  <c r="H28" i="13"/>
  <c r="I27" i="13"/>
  <c r="H27" i="13"/>
  <c r="I26" i="13"/>
  <c r="H26" i="13"/>
  <c r="I25" i="13"/>
  <c r="H25" i="13"/>
  <c r="I24" i="13"/>
  <c r="H24" i="13"/>
  <c r="I23" i="13"/>
  <c r="H23" i="13"/>
  <c r="I22" i="13"/>
  <c r="H22" i="13"/>
  <c r="I21" i="13"/>
  <c r="H21" i="13"/>
  <c r="I20" i="13"/>
  <c r="H20" i="13"/>
  <c r="I19" i="13"/>
  <c r="H19" i="13"/>
  <c r="I18" i="13"/>
  <c r="H18" i="13"/>
  <c r="I17" i="13"/>
  <c r="H17" i="13"/>
  <c r="J17" i="13" s="1"/>
  <c r="I16" i="13"/>
  <c r="H16" i="13"/>
  <c r="I15" i="13"/>
  <c r="H15" i="13"/>
  <c r="I14" i="13"/>
  <c r="H14" i="13"/>
  <c r="I13" i="13"/>
  <c r="H13" i="13"/>
  <c r="I12" i="13"/>
  <c r="H12" i="13"/>
  <c r="I11" i="13"/>
  <c r="H11" i="13"/>
  <c r="I10" i="13"/>
  <c r="H10" i="13"/>
  <c r="I9" i="13"/>
  <c r="H9" i="13"/>
  <c r="I8" i="13"/>
  <c r="H8" i="13"/>
  <c r="B6" i="13"/>
  <c r="I32" i="12"/>
  <c r="H32" i="12"/>
  <c r="I31" i="12"/>
  <c r="H31" i="12"/>
  <c r="I30" i="12"/>
  <c r="H30" i="12"/>
  <c r="I29" i="12"/>
  <c r="H29" i="12"/>
  <c r="I28" i="12"/>
  <c r="H28" i="12"/>
  <c r="I27" i="12"/>
  <c r="H27" i="12"/>
  <c r="I26" i="12"/>
  <c r="H26" i="12"/>
  <c r="I25" i="12"/>
  <c r="H25" i="12"/>
  <c r="I24" i="12"/>
  <c r="H24" i="12"/>
  <c r="I23" i="12"/>
  <c r="H23" i="12"/>
  <c r="I22" i="12"/>
  <c r="H22" i="12"/>
  <c r="I21" i="12"/>
  <c r="H21" i="12"/>
  <c r="I20" i="12"/>
  <c r="H20" i="12"/>
  <c r="I19" i="12"/>
  <c r="H19" i="12"/>
  <c r="I18" i="12"/>
  <c r="H18" i="12"/>
  <c r="I17" i="12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I10" i="12"/>
  <c r="H10" i="12"/>
  <c r="I9" i="12"/>
  <c r="H9" i="12"/>
  <c r="I8" i="12"/>
  <c r="H8" i="12"/>
  <c r="B6" i="12"/>
  <c r="I32" i="11"/>
  <c r="H32" i="11"/>
  <c r="I31" i="11"/>
  <c r="H31" i="11"/>
  <c r="I30" i="11"/>
  <c r="H30" i="11"/>
  <c r="I29" i="11"/>
  <c r="H29" i="11"/>
  <c r="I28" i="11"/>
  <c r="H28" i="11"/>
  <c r="I27" i="11"/>
  <c r="H27" i="11"/>
  <c r="I26" i="11"/>
  <c r="H26" i="11"/>
  <c r="I25" i="11"/>
  <c r="H25" i="11"/>
  <c r="I24" i="11"/>
  <c r="H24" i="11"/>
  <c r="I23" i="11"/>
  <c r="H23" i="11"/>
  <c r="I22" i="11"/>
  <c r="H22" i="11"/>
  <c r="I21" i="11"/>
  <c r="H21" i="11"/>
  <c r="I20" i="11"/>
  <c r="H20" i="11"/>
  <c r="I19" i="11"/>
  <c r="H19" i="11"/>
  <c r="I18" i="11"/>
  <c r="H18" i="11"/>
  <c r="I17" i="11"/>
  <c r="H17" i="11"/>
  <c r="I16" i="11"/>
  <c r="H16" i="11"/>
  <c r="I15" i="11"/>
  <c r="H15" i="11"/>
  <c r="I14" i="11"/>
  <c r="H14" i="11"/>
  <c r="I13" i="11"/>
  <c r="H13" i="11"/>
  <c r="I12" i="11"/>
  <c r="H12" i="11"/>
  <c r="I11" i="11"/>
  <c r="H11" i="11"/>
  <c r="I10" i="11"/>
  <c r="H10" i="11"/>
  <c r="I9" i="11"/>
  <c r="H9" i="11"/>
  <c r="I8" i="11"/>
  <c r="H8" i="11"/>
  <c r="C6" i="11"/>
  <c r="F8" i="9"/>
  <c r="F9" i="8"/>
  <c r="F8" i="8"/>
  <c r="G33" i="9"/>
  <c r="F33" i="9"/>
  <c r="G32" i="9"/>
  <c r="G31" i="9"/>
  <c r="F31" i="9"/>
  <c r="G30" i="9"/>
  <c r="F30" i="9"/>
  <c r="G29" i="9"/>
  <c r="G28" i="9"/>
  <c r="F28" i="9"/>
  <c r="H28" i="9" s="1"/>
  <c r="G27" i="9"/>
  <c r="F27" i="9"/>
  <c r="G26" i="9"/>
  <c r="G25" i="9"/>
  <c r="F25" i="9"/>
  <c r="G24" i="9"/>
  <c r="G23" i="9"/>
  <c r="F23" i="9"/>
  <c r="G22" i="9"/>
  <c r="F22" i="9"/>
  <c r="G21" i="9"/>
  <c r="G20" i="9"/>
  <c r="F20" i="9"/>
  <c r="G19" i="9"/>
  <c r="F19" i="9"/>
  <c r="G18" i="9"/>
  <c r="G17" i="9"/>
  <c r="F17" i="9"/>
  <c r="G16" i="9"/>
  <c r="G15" i="9"/>
  <c r="F15" i="9"/>
  <c r="G14" i="9"/>
  <c r="F14" i="9"/>
  <c r="G13" i="9"/>
  <c r="G12" i="9"/>
  <c r="F12" i="9"/>
  <c r="G11" i="9"/>
  <c r="F11" i="9"/>
  <c r="G10" i="9"/>
  <c r="G9" i="9"/>
  <c r="F9" i="9"/>
  <c r="B7" i="9"/>
  <c r="F32" i="9"/>
  <c r="G8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H17" i="8" s="1"/>
  <c r="G16" i="8"/>
  <c r="G15" i="8"/>
  <c r="G14" i="8"/>
  <c r="G13" i="8"/>
  <c r="G12" i="8"/>
  <c r="G11" i="8"/>
  <c r="G10" i="8"/>
  <c r="G9" i="8"/>
  <c r="B7" i="8"/>
  <c r="J12" i="14" l="1"/>
  <c r="J16" i="14"/>
  <c r="I24" i="14"/>
  <c r="J24" i="14" s="1"/>
  <c r="J20" i="14"/>
  <c r="I12" i="14"/>
  <c r="I16" i="14"/>
  <c r="I13" i="14"/>
  <c r="J13" i="14" s="1"/>
  <c r="I26" i="14"/>
  <c r="J26" i="14" s="1"/>
  <c r="I18" i="14"/>
  <c r="J18" i="14" s="1"/>
  <c r="J22" i="14"/>
  <c r="J28" i="14"/>
  <c r="J30" i="14"/>
  <c r="J14" i="14"/>
  <c r="I22" i="14"/>
  <c r="J15" i="14"/>
  <c r="I9" i="14"/>
  <c r="J9" i="14" s="1"/>
  <c r="I17" i="14"/>
  <c r="J17" i="14" s="1"/>
  <c r="I25" i="14"/>
  <c r="J25" i="14" s="1"/>
  <c r="J7" i="14"/>
  <c r="I15" i="14"/>
  <c r="I23" i="14"/>
  <c r="J23" i="14" s="1"/>
  <c r="I31" i="14"/>
  <c r="J31" i="14" s="1"/>
  <c r="I8" i="14"/>
  <c r="J8" i="14" s="1"/>
  <c r="I32" i="14"/>
  <c r="J32" i="14" s="1"/>
  <c r="J7" i="13"/>
  <c r="J32" i="18"/>
  <c r="J21" i="18"/>
  <c r="J11" i="18"/>
  <c r="J19" i="18"/>
  <c r="J8" i="18"/>
  <c r="J9" i="18"/>
  <c r="J17" i="18"/>
  <c r="J27" i="18"/>
  <c r="J13" i="18"/>
  <c r="J14" i="18"/>
  <c r="J22" i="18"/>
  <c r="J30" i="18"/>
  <c r="J25" i="18"/>
  <c r="J12" i="18"/>
  <c r="J20" i="18"/>
  <c r="J28" i="18"/>
  <c r="J7" i="18"/>
  <c r="J15" i="18"/>
  <c r="J23" i="18"/>
  <c r="J31" i="18"/>
  <c r="J10" i="18"/>
  <c r="J18" i="18"/>
  <c r="J26" i="18"/>
  <c r="J29" i="18"/>
  <c r="J16" i="18"/>
  <c r="J24" i="18"/>
  <c r="J26" i="17"/>
  <c r="J8" i="17"/>
  <c r="J16" i="17"/>
  <c r="J24" i="17"/>
  <c r="J32" i="17"/>
  <c r="J13" i="17"/>
  <c r="J21" i="17"/>
  <c r="J29" i="17"/>
  <c r="J27" i="17"/>
  <c r="J11" i="17"/>
  <c r="J19" i="17"/>
  <c r="J14" i="17"/>
  <c r="J22" i="17"/>
  <c r="J30" i="17"/>
  <c r="J9" i="17"/>
  <c r="J17" i="17"/>
  <c r="J25" i="17"/>
  <c r="J33" i="17"/>
  <c r="J12" i="17"/>
  <c r="J20" i="17"/>
  <c r="J28" i="17"/>
  <c r="J15" i="17"/>
  <c r="J23" i="17"/>
  <c r="J31" i="17"/>
  <c r="J10" i="17"/>
  <c r="J18" i="17"/>
  <c r="J18" i="16"/>
  <c r="J21" i="16"/>
  <c r="J29" i="16"/>
  <c r="J26" i="16"/>
  <c r="J8" i="16"/>
  <c r="J16" i="16"/>
  <c r="J27" i="16"/>
  <c r="J17" i="16"/>
  <c r="J11" i="16"/>
  <c r="J9" i="16"/>
  <c r="J32" i="16"/>
  <c r="J13" i="16"/>
  <c r="J14" i="16"/>
  <c r="J22" i="16"/>
  <c r="J30" i="16"/>
  <c r="J25" i="16"/>
  <c r="J12" i="16"/>
  <c r="J20" i="16"/>
  <c r="J28" i="16"/>
  <c r="J15" i="16"/>
  <c r="J23" i="16"/>
  <c r="J31" i="16"/>
  <c r="J24" i="16"/>
  <c r="J8" i="15"/>
  <c r="J29" i="15"/>
  <c r="J16" i="15"/>
  <c r="J24" i="15"/>
  <c r="J32" i="15"/>
  <c r="J11" i="15"/>
  <c r="J19" i="15"/>
  <c r="J27" i="15"/>
  <c r="J22" i="15"/>
  <c r="J30" i="15"/>
  <c r="J12" i="15"/>
  <c r="J20" i="15"/>
  <c r="J28" i="15"/>
  <c r="J25" i="15"/>
  <c r="J7" i="15"/>
  <c r="J15" i="15"/>
  <c r="J23" i="15"/>
  <c r="J31" i="15"/>
  <c r="J14" i="15"/>
  <c r="J9" i="15"/>
  <c r="J10" i="15"/>
  <c r="J18" i="15"/>
  <c r="J26" i="15"/>
  <c r="J17" i="15"/>
  <c r="J13" i="15"/>
  <c r="J21" i="15"/>
  <c r="J11" i="13"/>
  <c r="J19" i="13"/>
  <c r="J32" i="13"/>
  <c r="J10" i="13"/>
  <c r="J27" i="13"/>
  <c r="J9" i="13"/>
  <c r="J14" i="13"/>
  <c r="J22" i="13"/>
  <c r="J30" i="13"/>
  <c r="J25" i="13"/>
  <c r="J12" i="13"/>
  <c r="J20" i="13"/>
  <c r="J28" i="13"/>
  <c r="J15" i="13"/>
  <c r="J23" i="13"/>
  <c r="J31" i="13"/>
  <c r="J13" i="13"/>
  <c r="J21" i="13"/>
  <c r="J29" i="13"/>
  <c r="J18" i="13"/>
  <c r="J26" i="13"/>
  <c r="J8" i="13"/>
  <c r="J16" i="13"/>
  <c r="J24" i="13"/>
  <c r="J32" i="12"/>
  <c r="J11" i="12"/>
  <c r="J8" i="12"/>
  <c r="J19" i="12"/>
  <c r="J27" i="12"/>
  <c r="J13" i="12"/>
  <c r="J14" i="12"/>
  <c r="J22" i="12"/>
  <c r="J30" i="12"/>
  <c r="J9" i="12"/>
  <c r="J17" i="12"/>
  <c r="J25" i="12"/>
  <c r="J12" i="12"/>
  <c r="J20" i="12"/>
  <c r="J28" i="12"/>
  <c r="J15" i="12"/>
  <c r="J23" i="12"/>
  <c r="J31" i="12"/>
  <c r="J10" i="12"/>
  <c r="J18" i="12"/>
  <c r="J26" i="12"/>
  <c r="J21" i="12"/>
  <c r="J29" i="12"/>
  <c r="J16" i="12"/>
  <c r="J24" i="12"/>
  <c r="J11" i="11"/>
  <c r="J19" i="11"/>
  <c r="J32" i="11"/>
  <c r="J27" i="11"/>
  <c r="J14" i="11"/>
  <c r="J12" i="11"/>
  <c r="J28" i="11"/>
  <c r="J15" i="11"/>
  <c r="J23" i="11"/>
  <c r="J31" i="11"/>
  <c r="J10" i="11"/>
  <c r="J18" i="11"/>
  <c r="J26" i="11"/>
  <c r="J22" i="11"/>
  <c r="J30" i="11"/>
  <c r="J20" i="11"/>
  <c r="J13" i="11"/>
  <c r="J21" i="11"/>
  <c r="J29" i="11"/>
  <c r="J9" i="11"/>
  <c r="J17" i="11"/>
  <c r="J25" i="11"/>
  <c r="J8" i="11"/>
  <c r="J16" i="11"/>
  <c r="J24" i="11"/>
  <c r="H25" i="9"/>
  <c r="H20" i="9"/>
  <c r="H33" i="9"/>
  <c r="H30" i="9"/>
  <c r="H32" i="9"/>
  <c r="H12" i="9"/>
  <c r="H17" i="9"/>
  <c r="H22" i="9"/>
  <c r="H9" i="9"/>
  <c r="H14" i="9"/>
  <c r="H31" i="9"/>
  <c r="H27" i="9"/>
  <c r="H19" i="9"/>
  <c r="H11" i="9"/>
  <c r="F10" i="9"/>
  <c r="H10" i="9" s="1"/>
  <c r="F18" i="9"/>
  <c r="H18" i="9" s="1"/>
  <c r="F26" i="9"/>
  <c r="H26" i="9" s="1"/>
  <c r="F13" i="9"/>
  <c r="H13" i="9" s="1"/>
  <c r="H15" i="9"/>
  <c r="F21" i="9"/>
  <c r="H21" i="9" s="1"/>
  <c r="H23" i="9"/>
  <c r="F29" i="9"/>
  <c r="H29" i="9" s="1"/>
  <c r="F16" i="9"/>
  <c r="H16" i="9" s="1"/>
  <c r="F24" i="9"/>
  <c r="H24" i="9" s="1"/>
  <c r="H28" i="8"/>
  <c r="H15" i="8"/>
  <c r="H23" i="8"/>
  <c r="H31" i="8"/>
  <c r="H10" i="8"/>
  <c r="H18" i="8"/>
  <c r="H26" i="8"/>
  <c r="H13" i="8"/>
  <c r="H21" i="8"/>
  <c r="H29" i="8"/>
  <c r="H16" i="8"/>
  <c r="H24" i="8"/>
  <c r="F32" i="8"/>
  <c r="H32" i="8" s="1"/>
  <c r="H11" i="8"/>
  <c r="H19" i="8"/>
  <c r="H27" i="8"/>
  <c r="H14" i="8"/>
  <c r="H22" i="8"/>
  <c r="H9" i="8"/>
  <c r="F33" i="8"/>
  <c r="H33" i="8" s="1"/>
  <c r="H30" i="8"/>
  <c r="H25" i="8"/>
  <c r="H12" i="8"/>
  <c r="H20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<sst xmlns="http://schemas.openxmlformats.org/spreadsheetml/2006/main" count="195" uniqueCount="55">
  <si>
    <t xml:space="preserve">DATE </t>
  </si>
  <si>
    <t xml:space="preserve">EXPIRY DATE </t>
  </si>
  <si>
    <t>Spot Price</t>
  </si>
  <si>
    <t>Call</t>
  </si>
  <si>
    <t>Put</t>
  </si>
  <si>
    <t>-</t>
  </si>
  <si>
    <t>References</t>
  </si>
  <si>
    <t>https://www.nseindia.com/get-quotes/derivatives?symbol=UBL</t>
  </si>
  <si>
    <t>https://www.topstockresearch.com/rt/Stock/UBL/FuturesAndOptions</t>
  </si>
  <si>
    <t xml:space="preserve">Covered Call </t>
  </si>
  <si>
    <t>Stock Purchase Price</t>
  </si>
  <si>
    <t>Call Exercise Price</t>
  </si>
  <si>
    <t>Call Premium</t>
  </si>
  <si>
    <t>Position Taken</t>
  </si>
  <si>
    <t>Short</t>
  </si>
  <si>
    <t>Total shares</t>
  </si>
  <si>
    <t xml:space="preserve">Date </t>
  </si>
  <si>
    <t>Stock Closing Price</t>
  </si>
  <si>
    <t>P/L Stock</t>
  </si>
  <si>
    <t>P/L Call</t>
  </si>
  <si>
    <t>Net P/L</t>
  </si>
  <si>
    <t xml:space="preserve">No of lots </t>
  </si>
  <si>
    <t>No of shares in 1 lot</t>
  </si>
  <si>
    <t>Protective Put</t>
  </si>
  <si>
    <t>Put Exercise Price</t>
  </si>
  <si>
    <t>Put Premium</t>
  </si>
  <si>
    <t>Long</t>
  </si>
  <si>
    <t>Spot</t>
  </si>
  <si>
    <t>P/L Put</t>
  </si>
  <si>
    <t>Bull Call Spread</t>
  </si>
  <si>
    <t>Option</t>
  </si>
  <si>
    <t>Position</t>
  </si>
  <si>
    <t>Strike Price</t>
  </si>
  <si>
    <t>Premium</t>
  </si>
  <si>
    <t>E1</t>
  </si>
  <si>
    <t>E2</t>
  </si>
  <si>
    <t>E2&gt;E1</t>
  </si>
  <si>
    <t>P/L for Short</t>
  </si>
  <si>
    <t xml:space="preserve">P/L for Long </t>
  </si>
  <si>
    <t>Bull Put Spread</t>
  </si>
  <si>
    <t>Bear Call Spread</t>
  </si>
  <si>
    <t>Bear Put Spread</t>
  </si>
  <si>
    <t>Long Straddle</t>
  </si>
  <si>
    <t>Long call</t>
  </si>
  <si>
    <t>Long Put</t>
  </si>
  <si>
    <t>P/L for Long Call</t>
  </si>
  <si>
    <t>P/L for Long Put</t>
  </si>
  <si>
    <t>Short Straddle</t>
  </si>
  <si>
    <t>Short call</t>
  </si>
  <si>
    <t>Short Put</t>
  </si>
  <si>
    <t>P/L for Short Call</t>
  </si>
  <si>
    <t>P/L for Short Put</t>
  </si>
  <si>
    <t>Long Strangle</t>
  </si>
  <si>
    <t>E1&gt;E2</t>
  </si>
  <si>
    <t>Short Strangle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</si>
</sst>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0" fontId="0" fillId="2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4" fontId="0" fillId="0" borderId="0" xfId="0" applyNumberFormat="1"/>
    <xf numFmtId="4" fontId="0" fillId="0" borderId="1" xfId="0" applyNumberFormat="1" applyBorder="1"/>
    <xf numFmtId="0" fontId="1" fillId="2" borderId="0" xfId="0" applyFont="1" applyFill="1"/>
    <xf numFmtId="0" fontId="2" fillId="0" borderId="0" xfId="0" applyFont="1"/>
    <xf numFmtId="0" fontId="2" fillId="0" borderId="1" xfId="0" applyFont="1" applyBorder="1"/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5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0" xfId="0" applyFont="1" applyFill="1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0" borderId="0" xfId="1"/>
    <xf numFmtId="0" fontId="5" fillId="0" borderId="0" xfId="0" applyFont="1"/>
    <xf numFmtId="2" fontId="0" fillId="2" borderId="0" xfId="0" applyNumberFormat="1" applyFill="1" applyAlignment="1">
      <alignment horizontal="center"/>
    </xf>
    <xf numFmtId="4" fontId="0" fillId="2" borderId="0" xfId="0" applyNumberFormat="1" applyFill="1" applyAlignment="1">
      <alignment horizontal="center"/>
    </xf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Call @ 2180 vs</a:t>
            </a:r>
            <a:r>
              <a:rPr lang="en-IN" baseline="0"/>
              <a:t> Spot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'Record Data'!$C$1:$C$2</c:f>
              <c:strCache>
                <c:ptCount val="2"/>
                <c:pt idx="0">
                  <c:v>2180.00</c:v>
                </c:pt>
                <c:pt idx="1">
                  <c:v>Call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Data'!$C$3:$C$29</c:f>
              <c:numCache>
                <c:formatCode>General</c:formatCode>
                <c:ptCount val="27"/>
                <c:pt idx="0">
                  <c:v>54.75</c:v>
                </c:pt>
                <c:pt idx="1">
                  <c:v>68.5</c:v>
                </c:pt>
                <c:pt idx="2">
                  <c:v>78.400000000000006</c:v>
                </c:pt>
                <c:pt idx="3">
                  <c:v>76</c:v>
                </c:pt>
                <c:pt idx="4">
                  <c:v>60.1</c:v>
                </c:pt>
                <c:pt idx="5">
                  <c:v>49.1</c:v>
                </c:pt>
                <c:pt idx="6">
                  <c:v>33</c:v>
                </c:pt>
                <c:pt idx="7">
                  <c:v>20.3</c:v>
                </c:pt>
                <c:pt idx="8">
                  <c:v>33.9</c:v>
                </c:pt>
                <c:pt idx="9">
                  <c:v>24.5</c:v>
                </c:pt>
                <c:pt idx="10">
                  <c:v>20</c:v>
                </c:pt>
                <c:pt idx="11">
                  <c:v>20.149999999999999</c:v>
                </c:pt>
                <c:pt idx="12">
                  <c:v>14.2</c:v>
                </c:pt>
                <c:pt idx="13">
                  <c:v>15.85</c:v>
                </c:pt>
                <c:pt idx="14">
                  <c:v>7.95</c:v>
                </c:pt>
                <c:pt idx="15">
                  <c:v>5.55</c:v>
                </c:pt>
                <c:pt idx="16">
                  <c:v>4.4000000000000004</c:v>
                </c:pt>
                <c:pt idx="17">
                  <c:v>4.3</c:v>
                </c:pt>
                <c:pt idx="18">
                  <c:v>3</c:v>
                </c:pt>
                <c:pt idx="19">
                  <c:v>7.25</c:v>
                </c:pt>
                <c:pt idx="20">
                  <c:v>6.3</c:v>
                </c:pt>
                <c:pt idx="21">
                  <c:v>1.5</c:v>
                </c:pt>
                <c:pt idx="22">
                  <c:v>0.7</c:v>
                </c:pt>
                <c:pt idx="23">
                  <c:v>0.7</c:v>
                </c:pt>
                <c:pt idx="24">
                  <c:v>0.1</c:v>
                </c:pt>
                <c:pt idx="2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3-47BA-AD6D-2FC0F63BA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584000"/>
        <c:axId val="220588320"/>
      </c:lineChart>
      <c:lineChart>
        <c:grouping val="standard"/>
        <c:varyColors val="0"/>
        <c:ser>
          <c:idx val="1"/>
          <c:order val="1"/>
          <c:tx>
            <c:strRef>
              <c:f>'Record Data'!$M$1:$M$2</c:f>
              <c:strCache>
                <c:ptCount val="2"/>
                <c:pt idx="0">
                  <c:v>Spot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Data'!$M$3:$M$29</c:f>
              <c:numCache>
                <c:formatCode>#,##0.00</c:formatCode>
                <c:ptCount val="27"/>
                <c:pt idx="0">
                  <c:v>2134</c:v>
                </c:pt>
                <c:pt idx="1">
                  <c:v>2161</c:v>
                </c:pt>
                <c:pt idx="2">
                  <c:v>2174.3000000000002</c:v>
                </c:pt>
                <c:pt idx="3">
                  <c:v>2170</c:v>
                </c:pt>
                <c:pt idx="4">
                  <c:v>2165</c:v>
                </c:pt>
                <c:pt idx="5">
                  <c:v>2138.15</c:v>
                </c:pt>
                <c:pt idx="6">
                  <c:v>2110.6</c:v>
                </c:pt>
                <c:pt idx="7">
                  <c:v>2060</c:v>
                </c:pt>
                <c:pt idx="8">
                  <c:v>2125</c:v>
                </c:pt>
                <c:pt idx="9">
                  <c:v>2104</c:v>
                </c:pt>
                <c:pt idx="10">
                  <c:v>2085</c:v>
                </c:pt>
                <c:pt idx="11">
                  <c:v>2086.8000000000002</c:v>
                </c:pt>
                <c:pt idx="12">
                  <c:v>2096</c:v>
                </c:pt>
                <c:pt idx="13">
                  <c:v>2071.65</c:v>
                </c:pt>
                <c:pt idx="14">
                  <c:v>2031.65</c:v>
                </c:pt>
                <c:pt idx="15">
                  <c:v>1979.9</c:v>
                </c:pt>
                <c:pt idx="16">
                  <c:v>1975</c:v>
                </c:pt>
                <c:pt idx="17">
                  <c:v>1961.45</c:v>
                </c:pt>
                <c:pt idx="18">
                  <c:v>1945</c:v>
                </c:pt>
                <c:pt idx="19">
                  <c:v>1993.95</c:v>
                </c:pt>
                <c:pt idx="20">
                  <c:v>1983.95</c:v>
                </c:pt>
                <c:pt idx="21">
                  <c:v>1971.95</c:v>
                </c:pt>
                <c:pt idx="22">
                  <c:v>1944.9</c:v>
                </c:pt>
                <c:pt idx="23">
                  <c:v>1930</c:v>
                </c:pt>
                <c:pt idx="24">
                  <c:v>1927.95</c:v>
                </c:pt>
                <c:pt idx="25">
                  <c:v>1920.05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C3-47BA-AD6D-2FC0F63BA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580640"/>
        <c:axId val="220584480"/>
      </c:lineChart>
      <c:dateAx>
        <c:axId val="22058400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88320"/>
        <c:crosses val="autoZero"/>
        <c:auto val="1"/>
        <c:lblOffset val="100"/>
        <c:baseTimeUnit val="days"/>
      </c:dateAx>
      <c:valAx>
        <c:axId val="2205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84000"/>
        <c:crosses val="autoZero"/>
        <c:crossBetween val="between"/>
      </c:valAx>
      <c:valAx>
        <c:axId val="220584480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80640"/>
        <c:crosses val="max"/>
        <c:crossBetween val="between"/>
      </c:valAx>
      <c:dateAx>
        <c:axId val="220580640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22058448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Call</a:t>
            </a:r>
            <a:r>
              <a:rPr lang="en-IN" baseline="0"/>
              <a:t> @ 2080 vs Spot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'Record Data'!$E$1:$E$2</c:f>
              <c:strCache>
                <c:ptCount val="2"/>
                <c:pt idx="0">
                  <c:v>2,080.00</c:v>
                </c:pt>
                <c:pt idx="1">
                  <c:v>Call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Data'!$E$3:$E$29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147.44999999999999</c:v>
                </c:pt>
                <c:pt idx="3">
                  <c:v>147.44999999999999</c:v>
                </c:pt>
                <c:pt idx="4">
                  <c:v>147.44999999999999</c:v>
                </c:pt>
                <c:pt idx="5">
                  <c:v>102.8</c:v>
                </c:pt>
                <c:pt idx="6">
                  <c:v>102.8</c:v>
                </c:pt>
                <c:pt idx="7">
                  <c:v>53.45</c:v>
                </c:pt>
                <c:pt idx="8">
                  <c:v>81.5</c:v>
                </c:pt>
                <c:pt idx="9">
                  <c:v>69</c:v>
                </c:pt>
                <c:pt idx="10">
                  <c:v>53.35</c:v>
                </c:pt>
                <c:pt idx="11">
                  <c:v>53.8</c:v>
                </c:pt>
                <c:pt idx="12">
                  <c:v>41</c:v>
                </c:pt>
                <c:pt idx="13">
                  <c:v>48.55</c:v>
                </c:pt>
                <c:pt idx="14">
                  <c:v>26.55</c:v>
                </c:pt>
                <c:pt idx="15">
                  <c:v>15.3</c:v>
                </c:pt>
                <c:pt idx="16">
                  <c:v>12.5</c:v>
                </c:pt>
                <c:pt idx="17">
                  <c:v>9.9499999999999993</c:v>
                </c:pt>
                <c:pt idx="18">
                  <c:v>7.05</c:v>
                </c:pt>
                <c:pt idx="19">
                  <c:v>22.25</c:v>
                </c:pt>
                <c:pt idx="20">
                  <c:v>18.5</c:v>
                </c:pt>
                <c:pt idx="21">
                  <c:v>2.35</c:v>
                </c:pt>
                <c:pt idx="22">
                  <c:v>1.2</c:v>
                </c:pt>
                <c:pt idx="23">
                  <c:v>0.45</c:v>
                </c:pt>
                <c:pt idx="24">
                  <c:v>0.1</c:v>
                </c:pt>
                <c:pt idx="2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60-4EEA-A3D7-DC996A29B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518128"/>
        <c:axId val="201517168"/>
      </c:lineChart>
      <c:lineChart>
        <c:grouping val="standard"/>
        <c:varyColors val="0"/>
        <c:ser>
          <c:idx val="1"/>
          <c:order val="1"/>
          <c:tx>
            <c:strRef>
              <c:f>'Record Data'!$M$1:$M$2</c:f>
              <c:strCache>
                <c:ptCount val="2"/>
                <c:pt idx="0">
                  <c:v>Spot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Data'!$M$3:$M$29</c:f>
              <c:numCache>
                <c:formatCode>#,##0.00</c:formatCode>
                <c:ptCount val="27"/>
                <c:pt idx="0">
                  <c:v>2134</c:v>
                </c:pt>
                <c:pt idx="1">
                  <c:v>2161</c:v>
                </c:pt>
                <c:pt idx="2">
                  <c:v>2174.3000000000002</c:v>
                </c:pt>
                <c:pt idx="3">
                  <c:v>2170</c:v>
                </c:pt>
                <c:pt idx="4">
                  <c:v>2165</c:v>
                </c:pt>
                <c:pt idx="5">
                  <c:v>2138.15</c:v>
                </c:pt>
                <c:pt idx="6">
                  <c:v>2110.6</c:v>
                </c:pt>
                <c:pt idx="7">
                  <c:v>2060</c:v>
                </c:pt>
                <c:pt idx="8">
                  <c:v>2125</c:v>
                </c:pt>
                <c:pt idx="9">
                  <c:v>2104</c:v>
                </c:pt>
                <c:pt idx="10">
                  <c:v>2085</c:v>
                </c:pt>
                <c:pt idx="11">
                  <c:v>2086.8000000000002</c:v>
                </c:pt>
                <c:pt idx="12">
                  <c:v>2096</c:v>
                </c:pt>
                <c:pt idx="13">
                  <c:v>2071.65</c:v>
                </c:pt>
                <c:pt idx="14">
                  <c:v>2031.65</c:v>
                </c:pt>
                <c:pt idx="15">
                  <c:v>1979.9</c:v>
                </c:pt>
                <c:pt idx="16">
                  <c:v>1975</c:v>
                </c:pt>
                <c:pt idx="17">
                  <c:v>1961.45</c:v>
                </c:pt>
                <c:pt idx="18">
                  <c:v>1945</c:v>
                </c:pt>
                <c:pt idx="19">
                  <c:v>1993.95</c:v>
                </c:pt>
                <c:pt idx="20">
                  <c:v>1983.95</c:v>
                </c:pt>
                <c:pt idx="21">
                  <c:v>1971.95</c:v>
                </c:pt>
                <c:pt idx="22">
                  <c:v>1944.9</c:v>
                </c:pt>
                <c:pt idx="23">
                  <c:v>1930</c:v>
                </c:pt>
                <c:pt idx="24">
                  <c:v>1927.95</c:v>
                </c:pt>
                <c:pt idx="25">
                  <c:v>1920.05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60-4EEA-A3D7-DC996A29B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581120"/>
        <c:axId val="220574400"/>
      </c:lineChart>
      <c:dateAx>
        <c:axId val="20151812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17168"/>
        <c:crosses val="autoZero"/>
        <c:auto val="1"/>
        <c:lblOffset val="100"/>
        <c:baseTimeUnit val="days"/>
      </c:dateAx>
      <c:valAx>
        <c:axId val="20151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18128"/>
        <c:crosses val="autoZero"/>
        <c:crossBetween val="between"/>
      </c:valAx>
      <c:valAx>
        <c:axId val="220574400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81120"/>
        <c:crosses val="max"/>
        <c:crossBetween val="between"/>
      </c:valAx>
      <c:dateAx>
        <c:axId val="220581120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2205744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Call</a:t>
            </a:r>
            <a:r>
              <a:rPr lang="en-IN" baseline="0"/>
              <a:t> @ 2000 vs Spot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'Record Data'!$G$1:$G$2</c:f>
              <c:strCache>
                <c:ptCount val="2"/>
                <c:pt idx="0">
                  <c:v>2,000.00</c:v>
                </c:pt>
                <c:pt idx="1">
                  <c:v>Call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Data'!$G$3:$G$29</c:f>
              <c:numCache>
                <c:formatCode>General</c:formatCode>
                <c:ptCount val="27"/>
                <c:pt idx="0">
                  <c:v>0.05</c:v>
                </c:pt>
                <c:pt idx="1">
                  <c:v>1</c:v>
                </c:pt>
                <c:pt idx="2">
                  <c:v>1.6</c:v>
                </c:pt>
                <c:pt idx="3">
                  <c:v>5</c:v>
                </c:pt>
                <c:pt idx="4">
                  <c:v>10</c:v>
                </c:pt>
                <c:pt idx="5">
                  <c:v>45.15</c:v>
                </c:pt>
                <c:pt idx="6">
                  <c:v>51.05</c:v>
                </c:pt>
                <c:pt idx="7">
                  <c:v>18.850000000000001</c:v>
                </c:pt>
                <c:pt idx="8">
                  <c:v>28.55</c:v>
                </c:pt>
                <c:pt idx="9">
                  <c:v>34.049999999999997</c:v>
                </c:pt>
                <c:pt idx="10">
                  <c:v>38.4</c:v>
                </c:pt>
                <c:pt idx="11">
                  <c:v>62.4</c:v>
                </c:pt>
                <c:pt idx="12">
                  <c:v>92.05</c:v>
                </c:pt>
                <c:pt idx="13">
                  <c:v>98</c:v>
                </c:pt>
                <c:pt idx="14">
                  <c:v>98</c:v>
                </c:pt>
                <c:pt idx="15">
                  <c:v>98</c:v>
                </c:pt>
                <c:pt idx="16">
                  <c:v>130.75</c:v>
                </c:pt>
                <c:pt idx="17">
                  <c:v>140</c:v>
                </c:pt>
                <c:pt idx="18">
                  <c:v>98</c:v>
                </c:pt>
                <c:pt idx="19">
                  <c:v>180</c:v>
                </c:pt>
                <c:pt idx="20">
                  <c:v>180</c:v>
                </c:pt>
                <c:pt idx="21">
                  <c:v>180</c:v>
                </c:pt>
                <c:pt idx="22">
                  <c:v>207.15</c:v>
                </c:pt>
                <c:pt idx="23">
                  <c:v>232</c:v>
                </c:pt>
                <c:pt idx="24">
                  <c:v>188</c:v>
                </c:pt>
                <c:pt idx="25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62-4641-B143-DCF9A9190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452032"/>
        <c:axId val="294451072"/>
      </c:lineChart>
      <c:lineChart>
        <c:grouping val="standard"/>
        <c:varyColors val="0"/>
        <c:ser>
          <c:idx val="1"/>
          <c:order val="1"/>
          <c:tx>
            <c:strRef>
              <c:f>'Record Data'!$M$1:$M$2</c:f>
              <c:strCache>
                <c:ptCount val="2"/>
                <c:pt idx="0">
                  <c:v>Spot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Data'!$M$3:$M$29</c:f>
              <c:numCache>
                <c:formatCode>#,##0.00</c:formatCode>
                <c:ptCount val="27"/>
                <c:pt idx="0">
                  <c:v>2134</c:v>
                </c:pt>
                <c:pt idx="1">
                  <c:v>2161</c:v>
                </c:pt>
                <c:pt idx="2">
                  <c:v>2174.3000000000002</c:v>
                </c:pt>
                <c:pt idx="3">
                  <c:v>2170</c:v>
                </c:pt>
                <c:pt idx="4">
                  <c:v>2165</c:v>
                </c:pt>
                <c:pt idx="5">
                  <c:v>2138.15</c:v>
                </c:pt>
                <c:pt idx="6">
                  <c:v>2110.6</c:v>
                </c:pt>
                <c:pt idx="7">
                  <c:v>2060</c:v>
                </c:pt>
                <c:pt idx="8">
                  <c:v>2125</c:v>
                </c:pt>
                <c:pt idx="9">
                  <c:v>2104</c:v>
                </c:pt>
                <c:pt idx="10">
                  <c:v>2085</c:v>
                </c:pt>
                <c:pt idx="11">
                  <c:v>2086.8000000000002</c:v>
                </c:pt>
                <c:pt idx="12">
                  <c:v>2096</c:v>
                </c:pt>
                <c:pt idx="13">
                  <c:v>2071.65</c:v>
                </c:pt>
                <c:pt idx="14">
                  <c:v>2031.65</c:v>
                </c:pt>
                <c:pt idx="15">
                  <c:v>1979.9</c:v>
                </c:pt>
                <c:pt idx="16">
                  <c:v>1975</c:v>
                </c:pt>
                <c:pt idx="17">
                  <c:v>1961.45</c:v>
                </c:pt>
                <c:pt idx="18">
                  <c:v>1945</c:v>
                </c:pt>
                <c:pt idx="19">
                  <c:v>1993.95</c:v>
                </c:pt>
                <c:pt idx="20">
                  <c:v>1983.95</c:v>
                </c:pt>
                <c:pt idx="21">
                  <c:v>1971.95</c:v>
                </c:pt>
                <c:pt idx="22">
                  <c:v>1944.9</c:v>
                </c:pt>
                <c:pt idx="23">
                  <c:v>1930</c:v>
                </c:pt>
                <c:pt idx="24">
                  <c:v>1927.95</c:v>
                </c:pt>
                <c:pt idx="25">
                  <c:v>1920.05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62-4641-B143-DCF9A9190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552256"/>
        <c:axId val="223551296"/>
      </c:lineChart>
      <c:dateAx>
        <c:axId val="294452032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51072"/>
        <c:crosses val="autoZero"/>
        <c:auto val="1"/>
        <c:lblOffset val="100"/>
        <c:baseTimeUnit val="days"/>
      </c:dateAx>
      <c:valAx>
        <c:axId val="2944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52032"/>
        <c:crosses val="autoZero"/>
        <c:crossBetween val="between"/>
      </c:valAx>
      <c:valAx>
        <c:axId val="223551296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552256"/>
        <c:crosses val="max"/>
        <c:crossBetween val="between"/>
      </c:valAx>
      <c:dateAx>
        <c:axId val="223552256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22355129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Call</a:t>
            </a:r>
            <a:r>
              <a:rPr lang="en-IN" baseline="0"/>
              <a:t> @ 2280 vs Spot Price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'Record Data'!$I$1:$I$2</c:f>
              <c:strCache>
                <c:ptCount val="2"/>
                <c:pt idx="0">
                  <c:v>2,280.00</c:v>
                </c:pt>
                <c:pt idx="1">
                  <c:v>Call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Data'!$I$3:$I$29</c:f>
              <c:numCache>
                <c:formatCode>General</c:formatCode>
                <c:ptCount val="27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20</c:v>
                </c:pt>
                <c:pt idx="6">
                  <c:v>20</c:v>
                </c:pt>
                <c:pt idx="7">
                  <c:v>6.85</c:v>
                </c:pt>
                <c:pt idx="8">
                  <c:v>6.85</c:v>
                </c:pt>
                <c:pt idx="9">
                  <c:v>8.35</c:v>
                </c:pt>
                <c:pt idx="10">
                  <c:v>8.35</c:v>
                </c:pt>
                <c:pt idx="11">
                  <c:v>5.3</c:v>
                </c:pt>
                <c:pt idx="12">
                  <c:v>3.65</c:v>
                </c:pt>
                <c:pt idx="13">
                  <c:v>4.05</c:v>
                </c:pt>
                <c:pt idx="14">
                  <c:v>4.05</c:v>
                </c:pt>
                <c:pt idx="15">
                  <c:v>4.05</c:v>
                </c:pt>
                <c:pt idx="16">
                  <c:v>4.05</c:v>
                </c:pt>
                <c:pt idx="17">
                  <c:v>1.55</c:v>
                </c:pt>
                <c:pt idx="18">
                  <c:v>1.55</c:v>
                </c:pt>
                <c:pt idx="19">
                  <c:v>1.55</c:v>
                </c:pt>
                <c:pt idx="20">
                  <c:v>1.55</c:v>
                </c:pt>
                <c:pt idx="21">
                  <c:v>1.55</c:v>
                </c:pt>
                <c:pt idx="22">
                  <c:v>1.55</c:v>
                </c:pt>
                <c:pt idx="23">
                  <c:v>1.55</c:v>
                </c:pt>
                <c:pt idx="24">
                  <c:v>1.55</c:v>
                </c:pt>
                <c:pt idx="25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F-4FF7-8F49-CA7562218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584960"/>
        <c:axId val="220575360"/>
      </c:lineChart>
      <c:lineChart>
        <c:grouping val="standard"/>
        <c:varyColors val="0"/>
        <c:ser>
          <c:idx val="1"/>
          <c:order val="1"/>
          <c:tx>
            <c:strRef>
              <c:f>'Record Data'!$M$1:$M$2</c:f>
              <c:strCache>
                <c:ptCount val="2"/>
                <c:pt idx="0">
                  <c:v>Spot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Data'!$M$3:$M$29</c:f>
              <c:numCache>
                <c:formatCode>#,##0.00</c:formatCode>
                <c:ptCount val="27"/>
                <c:pt idx="0">
                  <c:v>2134</c:v>
                </c:pt>
                <c:pt idx="1">
                  <c:v>2161</c:v>
                </c:pt>
                <c:pt idx="2">
                  <c:v>2174.3000000000002</c:v>
                </c:pt>
                <c:pt idx="3">
                  <c:v>2170</c:v>
                </c:pt>
                <c:pt idx="4">
                  <c:v>2165</c:v>
                </c:pt>
                <c:pt idx="5">
                  <c:v>2138.15</c:v>
                </c:pt>
                <c:pt idx="6">
                  <c:v>2110.6</c:v>
                </c:pt>
                <c:pt idx="7">
                  <c:v>2060</c:v>
                </c:pt>
                <c:pt idx="8">
                  <c:v>2125</c:v>
                </c:pt>
                <c:pt idx="9">
                  <c:v>2104</c:v>
                </c:pt>
                <c:pt idx="10">
                  <c:v>2085</c:v>
                </c:pt>
                <c:pt idx="11">
                  <c:v>2086.8000000000002</c:v>
                </c:pt>
                <c:pt idx="12">
                  <c:v>2096</c:v>
                </c:pt>
                <c:pt idx="13">
                  <c:v>2071.65</c:v>
                </c:pt>
                <c:pt idx="14">
                  <c:v>2031.65</c:v>
                </c:pt>
                <c:pt idx="15">
                  <c:v>1979.9</c:v>
                </c:pt>
                <c:pt idx="16">
                  <c:v>1975</c:v>
                </c:pt>
                <c:pt idx="17">
                  <c:v>1961.45</c:v>
                </c:pt>
                <c:pt idx="18">
                  <c:v>1945</c:v>
                </c:pt>
                <c:pt idx="19">
                  <c:v>1993.95</c:v>
                </c:pt>
                <c:pt idx="20">
                  <c:v>1983.95</c:v>
                </c:pt>
                <c:pt idx="21">
                  <c:v>1971.95</c:v>
                </c:pt>
                <c:pt idx="22">
                  <c:v>1944.9</c:v>
                </c:pt>
                <c:pt idx="23">
                  <c:v>1930</c:v>
                </c:pt>
                <c:pt idx="24">
                  <c:v>1927.95</c:v>
                </c:pt>
                <c:pt idx="25">
                  <c:v>1920.05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4F-4FF7-8F49-CA7562218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885728"/>
        <c:axId val="325885248"/>
      </c:lineChart>
      <c:dateAx>
        <c:axId val="22058496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75360"/>
        <c:crosses val="autoZero"/>
        <c:auto val="1"/>
        <c:lblOffset val="100"/>
        <c:baseTimeUnit val="days"/>
      </c:dateAx>
      <c:valAx>
        <c:axId val="2205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84960"/>
        <c:crosses val="autoZero"/>
        <c:crossBetween val="between"/>
      </c:valAx>
      <c:valAx>
        <c:axId val="325885248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85728"/>
        <c:crosses val="max"/>
        <c:crossBetween val="between"/>
      </c:valAx>
      <c:dateAx>
        <c:axId val="325885728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32588524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Call</a:t>
            </a:r>
            <a:r>
              <a:rPr lang="en-IN" baseline="0"/>
              <a:t> @ 2300 vs Spot Price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'Record Data'!$K$1:$K$2</c:f>
              <c:strCache>
                <c:ptCount val="2"/>
                <c:pt idx="0">
                  <c:v>2,300.00</c:v>
                </c:pt>
                <c:pt idx="1">
                  <c:v>Call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Data'!$K$3:$K$29</c:f>
              <c:numCache>
                <c:formatCode>General</c:formatCode>
                <c:ptCount val="27"/>
                <c:pt idx="0">
                  <c:v>25.25</c:v>
                </c:pt>
                <c:pt idx="1">
                  <c:v>32.950000000000003</c:v>
                </c:pt>
                <c:pt idx="2">
                  <c:v>34.549999999999997</c:v>
                </c:pt>
                <c:pt idx="3">
                  <c:v>31</c:v>
                </c:pt>
                <c:pt idx="4">
                  <c:v>22.9</c:v>
                </c:pt>
                <c:pt idx="5">
                  <c:v>16.05</c:v>
                </c:pt>
                <c:pt idx="6">
                  <c:v>11.05</c:v>
                </c:pt>
                <c:pt idx="7">
                  <c:v>5.5</c:v>
                </c:pt>
                <c:pt idx="8">
                  <c:v>9.9499999999999993</c:v>
                </c:pt>
                <c:pt idx="9">
                  <c:v>7.2</c:v>
                </c:pt>
                <c:pt idx="10">
                  <c:v>5.4</c:v>
                </c:pt>
                <c:pt idx="11">
                  <c:v>3.8</c:v>
                </c:pt>
                <c:pt idx="12">
                  <c:v>3</c:v>
                </c:pt>
                <c:pt idx="13">
                  <c:v>4.55</c:v>
                </c:pt>
                <c:pt idx="14">
                  <c:v>3.45</c:v>
                </c:pt>
                <c:pt idx="15">
                  <c:v>2.2999999999999998</c:v>
                </c:pt>
                <c:pt idx="16">
                  <c:v>1.9</c:v>
                </c:pt>
                <c:pt idx="17">
                  <c:v>1.7</c:v>
                </c:pt>
                <c:pt idx="18">
                  <c:v>1.4</c:v>
                </c:pt>
                <c:pt idx="19">
                  <c:v>3.1</c:v>
                </c:pt>
                <c:pt idx="20">
                  <c:v>2</c:v>
                </c:pt>
                <c:pt idx="21">
                  <c:v>0.7</c:v>
                </c:pt>
                <c:pt idx="22">
                  <c:v>0.6</c:v>
                </c:pt>
                <c:pt idx="23">
                  <c:v>0.3</c:v>
                </c:pt>
                <c:pt idx="24">
                  <c:v>0.1</c:v>
                </c:pt>
                <c:pt idx="2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BD-4DC4-834E-8E5C78AA4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586144"/>
        <c:axId val="215579904"/>
      </c:lineChart>
      <c:lineChart>
        <c:grouping val="standard"/>
        <c:varyColors val="0"/>
        <c:ser>
          <c:idx val="1"/>
          <c:order val="1"/>
          <c:tx>
            <c:strRef>
              <c:f>'Record Data'!$M$1:$M$2</c:f>
              <c:strCache>
                <c:ptCount val="2"/>
                <c:pt idx="0">
                  <c:v>Spot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Data'!$M$3:$M$29</c:f>
              <c:numCache>
                <c:formatCode>#,##0.00</c:formatCode>
                <c:ptCount val="27"/>
                <c:pt idx="0">
                  <c:v>2134</c:v>
                </c:pt>
                <c:pt idx="1">
                  <c:v>2161</c:v>
                </c:pt>
                <c:pt idx="2">
                  <c:v>2174.3000000000002</c:v>
                </c:pt>
                <c:pt idx="3">
                  <c:v>2170</c:v>
                </c:pt>
                <c:pt idx="4">
                  <c:v>2165</c:v>
                </c:pt>
                <c:pt idx="5">
                  <c:v>2138.15</c:v>
                </c:pt>
                <c:pt idx="6">
                  <c:v>2110.6</c:v>
                </c:pt>
                <c:pt idx="7">
                  <c:v>2060</c:v>
                </c:pt>
                <c:pt idx="8">
                  <c:v>2125</c:v>
                </c:pt>
                <c:pt idx="9">
                  <c:v>2104</c:v>
                </c:pt>
                <c:pt idx="10">
                  <c:v>2085</c:v>
                </c:pt>
                <c:pt idx="11">
                  <c:v>2086.8000000000002</c:v>
                </c:pt>
                <c:pt idx="12">
                  <c:v>2096</c:v>
                </c:pt>
                <c:pt idx="13">
                  <c:v>2071.65</c:v>
                </c:pt>
                <c:pt idx="14">
                  <c:v>2031.65</c:v>
                </c:pt>
                <c:pt idx="15">
                  <c:v>1979.9</c:v>
                </c:pt>
                <c:pt idx="16">
                  <c:v>1975</c:v>
                </c:pt>
                <c:pt idx="17">
                  <c:v>1961.45</c:v>
                </c:pt>
                <c:pt idx="18">
                  <c:v>1945</c:v>
                </c:pt>
                <c:pt idx="19">
                  <c:v>1993.95</c:v>
                </c:pt>
                <c:pt idx="20">
                  <c:v>1983.95</c:v>
                </c:pt>
                <c:pt idx="21">
                  <c:v>1971.95</c:v>
                </c:pt>
                <c:pt idx="22">
                  <c:v>1944.9</c:v>
                </c:pt>
                <c:pt idx="23">
                  <c:v>1930</c:v>
                </c:pt>
                <c:pt idx="24">
                  <c:v>1927.95</c:v>
                </c:pt>
                <c:pt idx="25">
                  <c:v>1920.05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BD-4DC4-834E-8E5C78AA4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447712"/>
        <c:axId val="294446272"/>
      </c:lineChart>
      <c:dateAx>
        <c:axId val="21558614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579904"/>
        <c:crosses val="autoZero"/>
        <c:auto val="1"/>
        <c:lblOffset val="100"/>
        <c:baseTimeUnit val="days"/>
      </c:dateAx>
      <c:valAx>
        <c:axId val="21557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586144"/>
        <c:crosses val="autoZero"/>
        <c:crossBetween val="between"/>
      </c:valAx>
      <c:valAx>
        <c:axId val="294446272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47712"/>
        <c:crosses val="max"/>
        <c:crossBetween val="between"/>
      </c:valAx>
      <c:dateAx>
        <c:axId val="294447712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29444627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Put</a:t>
            </a:r>
            <a:r>
              <a:rPr lang="en-IN" baseline="0"/>
              <a:t> @ 2180 vs Spot Price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'Record Data'!$D$1:$D$2</c:f>
              <c:strCache>
                <c:ptCount val="2"/>
                <c:pt idx="0">
                  <c:v>2180.00</c:v>
                </c:pt>
                <c:pt idx="1">
                  <c:v>Put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Data'!$D$3:$D$29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59.5</c:v>
                </c:pt>
                <c:pt idx="3">
                  <c:v>61.1</c:v>
                </c:pt>
                <c:pt idx="4">
                  <c:v>60.05</c:v>
                </c:pt>
                <c:pt idx="5">
                  <c:v>68.5</c:v>
                </c:pt>
                <c:pt idx="6">
                  <c:v>93.25</c:v>
                </c:pt>
                <c:pt idx="7">
                  <c:v>93.25</c:v>
                </c:pt>
                <c:pt idx="8">
                  <c:v>93.25</c:v>
                </c:pt>
                <c:pt idx="9">
                  <c:v>93.25</c:v>
                </c:pt>
                <c:pt idx="10">
                  <c:v>93.3</c:v>
                </c:pt>
                <c:pt idx="11">
                  <c:v>93.3</c:v>
                </c:pt>
                <c:pt idx="12">
                  <c:v>108.5</c:v>
                </c:pt>
                <c:pt idx="13">
                  <c:v>108.5</c:v>
                </c:pt>
                <c:pt idx="14">
                  <c:v>108.5</c:v>
                </c:pt>
                <c:pt idx="15">
                  <c:v>108.5</c:v>
                </c:pt>
                <c:pt idx="16">
                  <c:v>108.5</c:v>
                </c:pt>
                <c:pt idx="17">
                  <c:v>210</c:v>
                </c:pt>
                <c:pt idx="18">
                  <c:v>210</c:v>
                </c:pt>
                <c:pt idx="19">
                  <c:v>210</c:v>
                </c:pt>
                <c:pt idx="20">
                  <c:v>192.4</c:v>
                </c:pt>
                <c:pt idx="21">
                  <c:v>192.4</c:v>
                </c:pt>
                <c:pt idx="22">
                  <c:v>192.4</c:v>
                </c:pt>
                <c:pt idx="23">
                  <c:v>192.4</c:v>
                </c:pt>
                <c:pt idx="24">
                  <c:v>192.4</c:v>
                </c:pt>
                <c:pt idx="25">
                  <c:v>261.89999999999998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D-4945-A059-8C6264448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550336"/>
        <c:axId val="223547456"/>
      </c:lineChart>
      <c:lineChart>
        <c:grouping val="standard"/>
        <c:varyColors val="0"/>
        <c:ser>
          <c:idx val="1"/>
          <c:order val="1"/>
          <c:tx>
            <c:strRef>
              <c:f>'Record Data'!$M$1:$M$2</c:f>
              <c:strCache>
                <c:ptCount val="2"/>
                <c:pt idx="0">
                  <c:v>Spot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Data'!$M$3:$M$29</c:f>
              <c:numCache>
                <c:formatCode>#,##0.00</c:formatCode>
                <c:ptCount val="27"/>
                <c:pt idx="0">
                  <c:v>2134</c:v>
                </c:pt>
                <c:pt idx="1">
                  <c:v>2161</c:v>
                </c:pt>
                <c:pt idx="2">
                  <c:v>2174.3000000000002</c:v>
                </c:pt>
                <c:pt idx="3">
                  <c:v>2170</c:v>
                </c:pt>
                <c:pt idx="4">
                  <c:v>2165</c:v>
                </c:pt>
                <c:pt idx="5">
                  <c:v>2138.15</c:v>
                </c:pt>
                <c:pt idx="6">
                  <c:v>2110.6</c:v>
                </c:pt>
                <c:pt idx="7">
                  <c:v>2060</c:v>
                </c:pt>
                <c:pt idx="8">
                  <c:v>2125</c:v>
                </c:pt>
                <c:pt idx="9">
                  <c:v>2104</c:v>
                </c:pt>
                <c:pt idx="10">
                  <c:v>2085</c:v>
                </c:pt>
                <c:pt idx="11">
                  <c:v>2086.8000000000002</c:v>
                </c:pt>
                <c:pt idx="12">
                  <c:v>2096</c:v>
                </c:pt>
                <c:pt idx="13">
                  <c:v>2071.65</c:v>
                </c:pt>
                <c:pt idx="14">
                  <c:v>2031.65</c:v>
                </c:pt>
                <c:pt idx="15">
                  <c:v>1979.9</c:v>
                </c:pt>
                <c:pt idx="16">
                  <c:v>1975</c:v>
                </c:pt>
                <c:pt idx="17">
                  <c:v>1961.45</c:v>
                </c:pt>
                <c:pt idx="18">
                  <c:v>1945</c:v>
                </c:pt>
                <c:pt idx="19">
                  <c:v>1993.95</c:v>
                </c:pt>
                <c:pt idx="20">
                  <c:v>1983.95</c:v>
                </c:pt>
                <c:pt idx="21">
                  <c:v>1971.95</c:v>
                </c:pt>
                <c:pt idx="22">
                  <c:v>1944.9</c:v>
                </c:pt>
                <c:pt idx="23">
                  <c:v>1930</c:v>
                </c:pt>
                <c:pt idx="24">
                  <c:v>1927.95</c:v>
                </c:pt>
                <c:pt idx="25">
                  <c:v>1920.05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8D-4945-A059-8C6264448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33696"/>
        <c:axId val="165637056"/>
      </c:lineChart>
      <c:dateAx>
        <c:axId val="22355033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547456"/>
        <c:crosses val="autoZero"/>
        <c:auto val="1"/>
        <c:lblOffset val="100"/>
        <c:baseTimeUnit val="days"/>
      </c:dateAx>
      <c:valAx>
        <c:axId val="22354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550336"/>
        <c:crosses val="autoZero"/>
        <c:crossBetween val="between"/>
      </c:valAx>
      <c:valAx>
        <c:axId val="165637056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3696"/>
        <c:crosses val="max"/>
        <c:crossBetween val="between"/>
      </c:valAx>
      <c:dateAx>
        <c:axId val="165633696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16563705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Put</a:t>
            </a:r>
            <a:r>
              <a:rPr lang="en-IN" baseline="0"/>
              <a:t> @ 2080 vs Spot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'Record Data'!$F$1:$F$2</c:f>
              <c:strCache>
                <c:ptCount val="2"/>
                <c:pt idx="0">
                  <c:v>2,080.00</c:v>
                </c:pt>
                <c:pt idx="1">
                  <c:v>Put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Data'!$F$3:$F$29</c:f>
              <c:numCache>
                <c:formatCode>General</c:formatCode>
                <c:ptCount val="27"/>
                <c:pt idx="0">
                  <c:v>90</c:v>
                </c:pt>
                <c:pt idx="1">
                  <c:v>90</c:v>
                </c:pt>
                <c:pt idx="2">
                  <c:v>21.8</c:v>
                </c:pt>
                <c:pt idx="3">
                  <c:v>21.8</c:v>
                </c:pt>
                <c:pt idx="4">
                  <c:v>21.8</c:v>
                </c:pt>
                <c:pt idx="5">
                  <c:v>28.55</c:v>
                </c:pt>
                <c:pt idx="6">
                  <c:v>45</c:v>
                </c:pt>
                <c:pt idx="7">
                  <c:v>58.9</c:v>
                </c:pt>
                <c:pt idx="8">
                  <c:v>40.049999999999997</c:v>
                </c:pt>
                <c:pt idx="9">
                  <c:v>33.5</c:v>
                </c:pt>
                <c:pt idx="10">
                  <c:v>46</c:v>
                </c:pt>
                <c:pt idx="11">
                  <c:v>38.5</c:v>
                </c:pt>
                <c:pt idx="12">
                  <c:v>47.8</c:v>
                </c:pt>
                <c:pt idx="13">
                  <c:v>40.15</c:v>
                </c:pt>
                <c:pt idx="14">
                  <c:v>68</c:v>
                </c:pt>
                <c:pt idx="15">
                  <c:v>95</c:v>
                </c:pt>
                <c:pt idx="16">
                  <c:v>109.85</c:v>
                </c:pt>
                <c:pt idx="17">
                  <c:v>109.85</c:v>
                </c:pt>
                <c:pt idx="18">
                  <c:v>109.85</c:v>
                </c:pt>
                <c:pt idx="19">
                  <c:v>91.3</c:v>
                </c:pt>
                <c:pt idx="20">
                  <c:v>91.3</c:v>
                </c:pt>
                <c:pt idx="21">
                  <c:v>104.3</c:v>
                </c:pt>
                <c:pt idx="22">
                  <c:v>154.44999999999999</c:v>
                </c:pt>
                <c:pt idx="23">
                  <c:v>154.44999999999999</c:v>
                </c:pt>
                <c:pt idx="24">
                  <c:v>154.44999999999999</c:v>
                </c:pt>
                <c:pt idx="25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03-4069-85C7-5877BB2B9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30816"/>
        <c:axId val="165631776"/>
      </c:lineChart>
      <c:lineChart>
        <c:grouping val="standard"/>
        <c:varyColors val="0"/>
        <c:ser>
          <c:idx val="1"/>
          <c:order val="1"/>
          <c:tx>
            <c:strRef>
              <c:f>'Record Data'!$M$1:$M$2</c:f>
              <c:strCache>
                <c:ptCount val="2"/>
                <c:pt idx="0">
                  <c:v>Spot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Data'!$M$3:$M$29</c:f>
              <c:numCache>
                <c:formatCode>#,##0.00</c:formatCode>
                <c:ptCount val="27"/>
                <c:pt idx="0">
                  <c:v>2134</c:v>
                </c:pt>
                <c:pt idx="1">
                  <c:v>2161</c:v>
                </c:pt>
                <c:pt idx="2">
                  <c:v>2174.3000000000002</c:v>
                </c:pt>
                <c:pt idx="3">
                  <c:v>2170</c:v>
                </c:pt>
                <c:pt idx="4">
                  <c:v>2165</c:v>
                </c:pt>
                <c:pt idx="5">
                  <c:v>2138.15</c:v>
                </c:pt>
                <c:pt idx="6">
                  <c:v>2110.6</c:v>
                </c:pt>
                <c:pt idx="7">
                  <c:v>2060</c:v>
                </c:pt>
                <c:pt idx="8">
                  <c:v>2125</c:v>
                </c:pt>
                <c:pt idx="9">
                  <c:v>2104</c:v>
                </c:pt>
                <c:pt idx="10">
                  <c:v>2085</c:v>
                </c:pt>
                <c:pt idx="11">
                  <c:v>2086.8000000000002</c:v>
                </c:pt>
                <c:pt idx="12">
                  <c:v>2096</c:v>
                </c:pt>
                <c:pt idx="13">
                  <c:v>2071.65</c:v>
                </c:pt>
                <c:pt idx="14">
                  <c:v>2031.65</c:v>
                </c:pt>
                <c:pt idx="15">
                  <c:v>1979.9</c:v>
                </c:pt>
                <c:pt idx="16">
                  <c:v>1975</c:v>
                </c:pt>
                <c:pt idx="17">
                  <c:v>1961.45</c:v>
                </c:pt>
                <c:pt idx="18">
                  <c:v>1945</c:v>
                </c:pt>
                <c:pt idx="19">
                  <c:v>1993.95</c:v>
                </c:pt>
                <c:pt idx="20">
                  <c:v>1983.95</c:v>
                </c:pt>
                <c:pt idx="21">
                  <c:v>1971.95</c:v>
                </c:pt>
                <c:pt idx="22">
                  <c:v>1944.9</c:v>
                </c:pt>
                <c:pt idx="23">
                  <c:v>1930</c:v>
                </c:pt>
                <c:pt idx="24">
                  <c:v>1927.95</c:v>
                </c:pt>
                <c:pt idx="25">
                  <c:v>1920.05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03-4069-85C7-5877BB2B9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446752"/>
        <c:axId val="294444832"/>
      </c:lineChart>
      <c:dateAx>
        <c:axId val="16563081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1776"/>
        <c:crosses val="autoZero"/>
        <c:auto val="1"/>
        <c:lblOffset val="100"/>
        <c:baseTimeUnit val="days"/>
      </c:dateAx>
      <c:valAx>
        <c:axId val="16563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0816"/>
        <c:crosses val="autoZero"/>
        <c:crossBetween val="between"/>
      </c:valAx>
      <c:valAx>
        <c:axId val="294444832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46752"/>
        <c:crosses val="max"/>
        <c:crossBetween val="between"/>
      </c:valAx>
      <c:dateAx>
        <c:axId val="294446752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29444483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Put</a:t>
            </a:r>
            <a:r>
              <a:rPr lang="en-IN" baseline="0"/>
              <a:t> @ 2280 vs Spot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'Record Data'!$J$1:$J$2</c:f>
              <c:strCache>
                <c:ptCount val="2"/>
                <c:pt idx="0">
                  <c:v>2,280.00</c:v>
                </c:pt>
                <c:pt idx="1">
                  <c:v>Put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Data'!$J$3:$J$29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146.75</c:v>
                </c:pt>
                <c:pt idx="7">
                  <c:v>146.75</c:v>
                </c:pt>
                <c:pt idx="8">
                  <c:v>146.75</c:v>
                </c:pt>
                <c:pt idx="9">
                  <c:v>146.75</c:v>
                </c:pt>
                <c:pt idx="10">
                  <c:v>146.75</c:v>
                </c:pt>
                <c:pt idx="11">
                  <c:v>146.75</c:v>
                </c:pt>
                <c:pt idx="12">
                  <c:v>146.75</c:v>
                </c:pt>
                <c:pt idx="13">
                  <c:v>146.75</c:v>
                </c:pt>
                <c:pt idx="14">
                  <c:v>146.75</c:v>
                </c:pt>
                <c:pt idx="15">
                  <c:v>146.75</c:v>
                </c:pt>
                <c:pt idx="16">
                  <c:v>146.75</c:v>
                </c:pt>
                <c:pt idx="17">
                  <c:v>146.75</c:v>
                </c:pt>
                <c:pt idx="18">
                  <c:v>146.75</c:v>
                </c:pt>
                <c:pt idx="19">
                  <c:v>146.75</c:v>
                </c:pt>
                <c:pt idx="20">
                  <c:v>146.75</c:v>
                </c:pt>
                <c:pt idx="21">
                  <c:v>146.75</c:v>
                </c:pt>
                <c:pt idx="22">
                  <c:v>146.75</c:v>
                </c:pt>
                <c:pt idx="23">
                  <c:v>146.75</c:v>
                </c:pt>
                <c:pt idx="24">
                  <c:v>146.75</c:v>
                </c:pt>
                <c:pt idx="25">
                  <c:v>146.75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3-4241-ADD9-9A23AC1AE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181376"/>
        <c:axId val="135182336"/>
      </c:lineChart>
      <c:lineChart>
        <c:grouping val="standard"/>
        <c:varyColors val="0"/>
        <c:ser>
          <c:idx val="1"/>
          <c:order val="1"/>
          <c:tx>
            <c:strRef>
              <c:f>'Record Data'!$M$1:$M$2</c:f>
              <c:strCache>
                <c:ptCount val="2"/>
                <c:pt idx="0">
                  <c:v>Spot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Data'!$M$3:$M$29</c:f>
              <c:numCache>
                <c:formatCode>#,##0.00</c:formatCode>
                <c:ptCount val="27"/>
                <c:pt idx="0">
                  <c:v>2134</c:v>
                </c:pt>
                <c:pt idx="1">
                  <c:v>2161</c:v>
                </c:pt>
                <c:pt idx="2">
                  <c:v>2174.3000000000002</c:v>
                </c:pt>
                <c:pt idx="3">
                  <c:v>2170</c:v>
                </c:pt>
                <c:pt idx="4">
                  <c:v>2165</c:v>
                </c:pt>
                <c:pt idx="5">
                  <c:v>2138.15</c:v>
                </c:pt>
                <c:pt idx="6">
                  <c:v>2110.6</c:v>
                </c:pt>
                <c:pt idx="7">
                  <c:v>2060</c:v>
                </c:pt>
                <c:pt idx="8">
                  <c:v>2125</c:v>
                </c:pt>
                <c:pt idx="9">
                  <c:v>2104</c:v>
                </c:pt>
                <c:pt idx="10">
                  <c:v>2085</c:v>
                </c:pt>
                <c:pt idx="11">
                  <c:v>2086.8000000000002</c:v>
                </c:pt>
                <c:pt idx="12">
                  <c:v>2096</c:v>
                </c:pt>
                <c:pt idx="13">
                  <c:v>2071.65</c:v>
                </c:pt>
                <c:pt idx="14">
                  <c:v>2031.65</c:v>
                </c:pt>
                <c:pt idx="15">
                  <c:v>1979.9</c:v>
                </c:pt>
                <c:pt idx="16">
                  <c:v>1975</c:v>
                </c:pt>
                <c:pt idx="17">
                  <c:v>1961.45</c:v>
                </c:pt>
                <c:pt idx="18">
                  <c:v>1945</c:v>
                </c:pt>
                <c:pt idx="19">
                  <c:v>1993.95</c:v>
                </c:pt>
                <c:pt idx="20">
                  <c:v>1983.95</c:v>
                </c:pt>
                <c:pt idx="21">
                  <c:v>1971.95</c:v>
                </c:pt>
                <c:pt idx="22">
                  <c:v>1944.9</c:v>
                </c:pt>
                <c:pt idx="23">
                  <c:v>1930</c:v>
                </c:pt>
                <c:pt idx="24">
                  <c:v>1927.95</c:v>
                </c:pt>
                <c:pt idx="25">
                  <c:v>1920.05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23-4241-ADD9-9A23AC1AE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522624"/>
        <c:axId val="311524064"/>
      </c:lineChart>
      <c:dateAx>
        <c:axId val="13518137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82336"/>
        <c:crosses val="autoZero"/>
        <c:auto val="1"/>
        <c:lblOffset val="100"/>
        <c:baseTimeUnit val="days"/>
      </c:dateAx>
      <c:valAx>
        <c:axId val="13518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81376"/>
        <c:crosses val="autoZero"/>
        <c:crossBetween val="between"/>
      </c:valAx>
      <c:valAx>
        <c:axId val="311524064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22624"/>
        <c:crosses val="max"/>
        <c:crossBetween val="between"/>
      </c:valAx>
      <c:dateAx>
        <c:axId val="311522624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31152406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Put</a:t>
            </a:r>
            <a:r>
              <a:rPr lang="en-IN" baseline="0"/>
              <a:t> @ 2300 vs Spot Price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'Record Data'!$L$1:$L$2</c:f>
              <c:strCache>
                <c:ptCount val="2"/>
                <c:pt idx="0">
                  <c:v>2,300.00</c:v>
                </c:pt>
                <c:pt idx="1">
                  <c:v>Put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Data'!$L$3:$L$29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126.4</c:v>
                </c:pt>
                <c:pt idx="3">
                  <c:v>126.4</c:v>
                </c:pt>
                <c:pt idx="4">
                  <c:v>126.4</c:v>
                </c:pt>
                <c:pt idx="5">
                  <c:v>126.4</c:v>
                </c:pt>
                <c:pt idx="6">
                  <c:v>126.4</c:v>
                </c:pt>
                <c:pt idx="7">
                  <c:v>126.4</c:v>
                </c:pt>
                <c:pt idx="8">
                  <c:v>126.4</c:v>
                </c:pt>
                <c:pt idx="9">
                  <c:v>126.4</c:v>
                </c:pt>
                <c:pt idx="10">
                  <c:v>126.4</c:v>
                </c:pt>
                <c:pt idx="11">
                  <c:v>126.4</c:v>
                </c:pt>
                <c:pt idx="12">
                  <c:v>126.4</c:v>
                </c:pt>
                <c:pt idx="13">
                  <c:v>126.4</c:v>
                </c:pt>
                <c:pt idx="14">
                  <c:v>126.4</c:v>
                </c:pt>
                <c:pt idx="15">
                  <c:v>126.4</c:v>
                </c:pt>
                <c:pt idx="16">
                  <c:v>126.4</c:v>
                </c:pt>
                <c:pt idx="17">
                  <c:v>126.4</c:v>
                </c:pt>
                <c:pt idx="18">
                  <c:v>126.4</c:v>
                </c:pt>
                <c:pt idx="19">
                  <c:v>126.4</c:v>
                </c:pt>
                <c:pt idx="20">
                  <c:v>126.4</c:v>
                </c:pt>
                <c:pt idx="21">
                  <c:v>126.4</c:v>
                </c:pt>
                <c:pt idx="22">
                  <c:v>126.4</c:v>
                </c:pt>
                <c:pt idx="23">
                  <c:v>126.4</c:v>
                </c:pt>
                <c:pt idx="24">
                  <c:v>126.4</c:v>
                </c:pt>
                <c:pt idx="25">
                  <c:v>126.4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0-4A04-8CDD-A196A2870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871808"/>
        <c:axId val="325872288"/>
      </c:lineChart>
      <c:lineChart>
        <c:grouping val="standard"/>
        <c:varyColors val="0"/>
        <c:ser>
          <c:idx val="1"/>
          <c:order val="1"/>
          <c:tx>
            <c:strRef>
              <c:f>'Record Data'!$M$1:$M$2</c:f>
              <c:strCache>
                <c:ptCount val="2"/>
                <c:pt idx="0">
                  <c:v>Spot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Data'!$A$3:$A$29</c:f>
              <c:numCache>
                <c:formatCode>d\-mmm\-yy</c:formatCode>
                <c:ptCount val="27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Data'!$M$3:$M$29</c:f>
              <c:numCache>
                <c:formatCode>#,##0.00</c:formatCode>
                <c:ptCount val="27"/>
                <c:pt idx="0">
                  <c:v>2134</c:v>
                </c:pt>
                <c:pt idx="1">
                  <c:v>2161</c:v>
                </c:pt>
                <c:pt idx="2">
                  <c:v>2174.3000000000002</c:v>
                </c:pt>
                <c:pt idx="3">
                  <c:v>2170</c:v>
                </c:pt>
                <c:pt idx="4">
                  <c:v>2165</c:v>
                </c:pt>
                <c:pt idx="5">
                  <c:v>2138.15</c:v>
                </c:pt>
                <c:pt idx="6">
                  <c:v>2110.6</c:v>
                </c:pt>
                <c:pt idx="7">
                  <c:v>2060</c:v>
                </c:pt>
                <c:pt idx="8">
                  <c:v>2125</c:v>
                </c:pt>
                <c:pt idx="9">
                  <c:v>2104</c:v>
                </c:pt>
                <c:pt idx="10">
                  <c:v>2085</c:v>
                </c:pt>
                <c:pt idx="11">
                  <c:v>2086.8000000000002</c:v>
                </c:pt>
                <c:pt idx="12">
                  <c:v>2096</c:v>
                </c:pt>
                <c:pt idx="13">
                  <c:v>2071.65</c:v>
                </c:pt>
                <c:pt idx="14">
                  <c:v>2031.65</c:v>
                </c:pt>
                <c:pt idx="15">
                  <c:v>1979.9</c:v>
                </c:pt>
                <c:pt idx="16">
                  <c:v>1975</c:v>
                </c:pt>
                <c:pt idx="17">
                  <c:v>1961.45</c:v>
                </c:pt>
                <c:pt idx="18">
                  <c:v>1945</c:v>
                </c:pt>
                <c:pt idx="19">
                  <c:v>1993.95</c:v>
                </c:pt>
                <c:pt idx="20">
                  <c:v>1983.95</c:v>
                </c:pt>
                <c:pt idx="21">
                  <c:v>1971.95</c:v>
                </c:pt>
                <c:pt idx="22">
                  <c:v>1944.9</c:v>
                </c:pt>
                <c:pt idx="23">
                  <c:v>1930</c:v>
                </c:pt>
                <c:pt idx="24">
                  <c:v>1927.95</c:v>
                </c:pt>
                <c:pt idx="25">
                  <c:v>1920.05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0-4A04-8CDD-A196A2870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868928"/>
        <c:axId val="325867968"/>
      </c:lineChart>
      <c:dateAx>
        <c:axId val="32587180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72288"/>
        <c:crosses val="autoZero"/>
        <c:auto val="1"/>
        <c:lblOffset val="100"/>
        <c:baseTimeUnit val="days"/>
      </c:dateAx>
      <c:valAx>
        <c:axId val="3258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71808"/>
        <c:crosses val="autoZero"/>
        <c:crossBetween val="between"/>
      </c:valAx>
      <c:valAx>
        <c:axId val="325867968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68928"/>
        <c:crosses val="max"/>
        <c:crossBetween val="between"/>
      </c:valAx>
      <c:dateAx>
        <c:axId val="325868928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32586796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Put</a:t>
            </a:r>
            <a:r>
              <a:rPr lang="en-IN" baseline="0"/>
              <a:t> @ 2000 vs Spot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'Record Data'!$H$1:$H$2</c:f>
              <c:strCache>
                <c:ptCount val="2"/>
                <c:pt idx="0">
                  <c:v>2,000.00</c:v>
                </c:pt>
                <c:pt idx="1">
                  <c:v>Put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Data'!$A$3:$A$28</c:f>
              <c:numCache>
                <c:formatCode>d\-mmm\-yy</c:formatCode>
                <c:ptCount val="26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Data'!$H$3:$H$28</c:f>
              <c:numCache>
                <c:formatCode>General</c:formatCode>
                <c:ptCount val="26"/>
                <c:pt idx="0">
                  <c:v>24</c:v>
                </c:pt>
                <c:pt idx="1">
                  <c:v>16.899999999999999</c:v>
                </c:pt>
                <c:pt idx="2">
                  <c:v>10</c:v>
                </c:pt>
                <c:pt idx="3">
                  <c:v>10.8</c:v>
                </c:pt>
                <c:pt idx="4">
                  <c:v>9.4499999999999993</c:v>
                </c:pt>
                <c:pt idx="5">
                  <c:v>12</c:v>
                </c:pt>
                <c:pt idx="6">
                  <c:v>20.6</c:v>
                </c:pt>
                <c:pt idx="7">
                  <c:v>24.9</c:v>
                </c:pt>
                <c:pt idx="8">
                  <c:v>12.15</c:v>
                </c:pt>
                <c:pt idx="9">
                  <c:v>15.45</c:v>
                </c:pt>
                <c:pt idx="10">
                  <c:v>17.5</c:v>
                </c:pt>
                <c:pt idx="11">
                  <c:v>13.25</c:v>
                </c:pt>
                <c:pt idx="12">
                  <c:v>15.5</c:v>
                </c:pt>
                <c:pt idx="13">
                  <c:v>15.25</c:v>
                </c:pt>
                <c:pt idx="14">
                  <c:v>29.25</c:v>
                </c:pt>
                <c:pt idx="15">
                  <c:v>52.45</c:v>
                </c:pt>
                <c:pt idx="16">
                  <c:v>47.95</c:v>
                </c:pt>
                <c:pt idx="17">
                  <c:v>61.85</c:v>
                </c:pt>
                <c:pt idx="18">
                  <c:v>81.7</c:v>
                </c:pt>
                <c:pt idx="19">
                  <c:v>54.95</c:v>
                </c:pt>
                <c:pt idx="20">
                  <c:v>58.1</c:v>
                </c:pt>
                <c:pt idx="21">
                  <c:v>37.799999999999997</c:v>
                </c:pt>
                <c:pt idx="22">
                  <c:v>74.5</c:v>
                </c:pt>
                <c:pt idx="23">
                  <c:v>68.7</c:v>
                </c:pt>
                <c:pt idx="24">
                  <c:v>66.25</c:v>
                </c:pt>
                <c:pt idx="25">
                  <c:v>79.150000000000006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8-45AA-BB86-CE3636EF5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729488"/>
        <c:axId val="221730448"/>
      </c:lineChart>
      <c:lineChart>
        <c:grouping val="standard"/>
        <c:varyColors val="0"/>
        <c:ser>
          <c:idx val="1"/>
          <c:order val="1"/>
          <c:tx>
            <c:strRef>
              <c:f>'Record Data'!$M$1:$M$2</c:f>
              <c:strCache>
                <c:ptCount val="2"/>
                <c:pt idx="0">
                  <c:v>Spot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'Record Data'!$A$3:$A$28</c:f>
              <c:numCache>
                <c:formatCode>d\-mmm\-yy</c:formatCode>
                <c:ptCount val="26"/>
                <c:pt idx="0">
                  <c:v>45560</c:v>
                </c:pt>
                <c:pt idx="1">
                  <c:v>45561</c:v>
                </c:pt>
                <c:pt idx="2">
                  <c:v>45562</c:v>
                </c:pt>
                <c:pt idx="3">
                  <c:v>45565</c:v>
                </c:pt>
                <c:pt idx="4">
                  <c:v>45566</c:v>
                </c:pt>
                <c:pt idx="5">
                  <c:v>45568</c:v>
                </c:pt>
                <c:pt idx="6">
                  <c:v>45569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</c:numCache>
            </c:numRef>
          </c:cat>
          <c:val>
            <c:numRef>
              <c:f>'Record Data'!$M$3:$M$28</c:f>
              <c:numCache>
                <c:formatCode>#,##0.00</c:formatCode>
                <c:ptCount val="26"/>
                <c:pt idx="0">
                  <c:v>2134</c:v>
                </c:pt>
                <c:pt idx="1">
                  <c:v>2161</c:v>
                </c:pt>
                <c:pt idx="2">
                  <c:v>2174.3000000000002</c:v>
                </c:pt>
                <c:pt idx="3">
                  <c:v>2170</c:v>
                </c:pt>
                <c:pt idx="4">
                  <c:v>2165</c:v>
                </c:pt>
                <c:pt idx="5">
                  <c:v>2138.15</c:v>
                </c:pt>
                <c:pt idx="6">
                  <c:v>2110.6</c:v>
                </c:pt>
                <c:pt idx="7">
                  <c:v>2060</c:v>
                </c:pt>
                <c:pt idx="8">
                  <c:v>2125</c:v>
                </c:pt>
                <c:pt idx="9">
                  <c:v>2104</c:v>
                </c:pt>
                <c:pt idx="10">
                  <c:v>2085</c:v>
                </c:pt>
                <c:pt idx="11">
                  <c:v>2086.8000000000002</c:v>
                </c:pt>
                <c:pt idx="12">
                  <c:v>2096</c:v>
                </c:pt>
                <c:pt idx="13">
                  <c:v>2071.65</c:v>
                </c:pt>
                <c:pt idx="14">
                  <c:v>2031.65</c:v>
                </c:pt>
                <c:pt idx="15">
                  <c:v>1979.9</c:v>
                </c:pt>
                <c:pt idx="16">
                  <c:v>1975</c:v>
                </c:pt>
                <c:pt idx="17">
                  <c:v>1961.45</c:v>
                </c:pt>
                <c:pt idx="18">
                  <c:v>1945</c:v>
                </c:pt>
                <c:pt idx="19">
                  <c:v>1993.95</c:v>
                </c:pt>
                <c:pt idx="20">
                  <c:v>1983.95</c:v>
                </c:pt>
                <c:pt idx="21">
                  <c:v>1971.95</c:v>
                </c:pt>
                <c:pt idx="22">
                  <c:v>1944.9</c:v>
                </c:pt>
                <c:pt idx="23">
                  <c:v>1930</c:v>
                </c:pt>
                <c:pt idx="24">
                  <c:v>1927.95</c:v>
                </c:pt>
                <c:pt idx="25">
                  <c:v>1920.05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8-45AA-BB86-CE3636EF5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882848"/>
        <c:axId val="325873248"/>
      </c:lineChart>
      <c:dateAx>
        <c:axId val="22172948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30448"/>
        <c:crosses val="autoZero"/>
        <c:auto val="1"/>
        <c:lblOffset val="100"/>
        <c:baseTimeUnit val="days"/>
      </c:dateAx>
      <c:valAx>
        <c:axId val="22173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29488"/>
        <c:crosses val="autoZero"/>
        <c:crossBetween val="between"/>
      </c:valAx>
      <c:valAx>
        <c:axId val="325873248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82848"/>
        <c:crosses val="max"/>
        <c:crossBetween val="between"/>
      </c:valAx>
      <c:dateAx>
        <c:axId val="325882848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32587324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'Covered Call'!$G$7</c:f>
              <c:strCache>
                <c:ptCount val="1"/>
                <c:pt idx="0">
                  <c:v>P/L Call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'Covered Call'!$G$8:$G$33</c:f>
              <c:numCache>
                <c:formatCode>General</c:formatCode>
                <c:ptCount val="26"/>
                <c:pt idx="0">
                  <c:v>54.75</c:v>
                </c:pt>
                <c:pt idx="1">
                  <c:v>54.75</c:v>
                </c:pt>
                <c:pt idx="2">
                  <c:v>54.75</c:v>
                </c:pt>
                <c:pt idx="3">
                  <c:v>54.75</c:v>
                </c:pt>
                <c:pt idx="4">
                  <c:v>54.75</c:v>
                </c:pt>
                <c:pt idx="5">
                  <c:v>54.75</c:v>
                </c:pt>
                <c:pt idx="6">
                  <c:v>54.75</c:v>
                </c:pt>
                <c:pt idx="7">
                  <c:v>54.75</c:v>
                </c:pt>
                <c:pt idx="8">
                  <c:v>54.75</c:v>
                </c:pt>
                <c:pt idx="9">
                  <c:v>54.75</c:v>
                </c:pt>
                <c:pt idx="10">
                  <c:v>54.75</c:v>
                </c:pt>
                <c:pt idx="11">
                  <c:v>54.75</c:v>
                </c:pt>
                <c:pt idx="12">
                  <c:v>54.75</c:v>
                </c:pt>
                <c:pt idx="13">
                  <c:v>54.75</c:v>
                </c:pt>
                <c:pt idx="14">
                  <c:v>54.75</c:v>
                </c:pt>
                <c:pt idx="15">
                  <c:v>54.75</c:v>
                </c:pt>
                <c:pt idx="16">
                  <c:v>54.75</c:v>
                </c:pt>
                <c:pt idx="17">
                  <c:v>54.75</c:v>
                </c:pt>
                <c:pt idx="18">
                  <c:v>54.75</c:v>
                </c:pt>
                <c:pt idx="19">
                  <c:v>54.75</c:v>
                </c:pt>
                <c:pt idx="20">
                  <c:v>54.75</c:v>
                </c:pt>
                <c:pt idx="21">
                  <c:v>54.75</c:v>
                </c:pt>
                <c:pt idx="22">
                  <c:v>54.75</c:v>
                </c:pt>
                <c:pt idx="23">
                  <c:v>54.75</c:v>
                </c:pt>
                <c:pt idx="24">
                  <c:v>54.75</c:v>
                </c:pt>
                <c:pt idx="25">
                  <c:v>54.75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87-4CE5-B2E1-1B00FF817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054432"/>
        <c:axId val="488051552"/>
      </c:lineChart>
      <c:lineChart>
        <c:grouping val="standard"/>
        <c:varyColors val="0"/>
        <c:ser>
          <c:idx val="0"/>
          <c:order val="0"/>
          <c:tx>
            <c:strRef>
              <c:f>'Covered Call'!$F$7</c:f>
              <c:strCache>
                <c:ptCount val="1"/>
                <c:pt idx="0">
                  <c:v>P/L Stock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'Covered Call'!$F$8:$F$33</c:f>
              <c:numCache>
                <c:formatCode>#,##0.00</c:formatCode>
                <c:ptCount val="26"/>
                <c:pt idx="0">
                  <c:v>0</c:v>
                </c:pt>
                <c:pt idx="1">
                  <c:v>27</c:v>
                </c:pt>
                <c:pt idx="2" formatCode="General">
                  <c:v>40.300000000000182</c:v>
                </c:pt>
                <c:pt idx="3" formatCode="General">
                  <c:v>36</c:v>
                </c:pt>
                <c:pt idx="4" formatCode="General">
                  <c:v>31</c:v>
                </c:pt>
                <c:pt idx="5" formatCode="General">
                  <c:v>4.1500000000000909</c:v>
                </c:pt>
                <c:pt idx="6" formatCode="General">
                  <c:v>-23.400000000000091</c:v>
                </c:pt>
                <c:pt idx="7" formatCode="General">
                  <c:v>-74</c:v>
                </c:pt>
                <c:pt idx="8" formatCode="General">
                  <c:v>-9</c:v>
                </c:pt>
                <c:pt idx="9" formatCode="General">
                  <c:v>-30</c:v>
                </c:pt>
                <c:pt idx="10" formatCode="General">
                  <c:v>-49</c:v>
                </c:pt>
                <c:pt idx="11" formatCode="General">
                  <c:v>-47.199999999999818</c:v>
                </c:pt>
                <c:pt idx="12" formatCode="General">
                  <c:v>-38</c:v>
                </c:pt>
                <c:pt idx="13" formatCode="General">
                  <c:v>-62.349999999999909</c:v>
                </c:pt>
                <c:pt idx="14" formatCode="General">
                  <c:v>-102.34999999999991</c:v>
                </c:pt>
                <c:pt idx="15" formatCode="General">
                  <c:v>-154.09999999999991</c:v>
                </c:pt>
                <c:pt idx="16" formatCode="General">
                  <c:v>-159</c:v>
                </c:pt>
                <c:pt idx="17" formatCode="General">
                  <c:v>-172.54999999999995</c:v>
                </c:pt>
                <c:pt idx="18" formatCode="General">
                  <c:v>-189</c:v>
                </c:pt>
                <c:pt idx="19" formatCode="General">
                  <c:v>-140.04999999999995</c:v>
                </c:pt>
                <c:pt idx="20" formatCode="General">
                  <c:v>-150.04999999999995</c:v>
                </c:pt>
                <c:pt idx="21" formatCode="General">
                  <c:v>-162.04999999999995</c:v>
                </c:pt>
                <c:pt idx="22" formatCode="General">
                  <c:v>-189.09999999999991</c:v>
                </c:pt>
                <c:pt idx="23" formatCode="General">
                  <c:v>-204</c:v>
                </c:pt>
                <c:pt idx="24" formatCode="General">
                  <c:v>-206.04999999999995</c:v>
                </c:pt>
                <c:pt idx="25" formatCode="General">
                  <c:v>-213.95000000000005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7-4CE5-B2E1-1B00FF81718F}"/>
            </c:ext>
          </c:extLst>
        </c:ser>
        <c:ser>
          <c:idx val="2"/>
          <c:order val="2"/>
          <c:tx>
            <c:strRef>
              <c:f>'Covered Call'!$H$7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'Covered Call'!$H$8:$H$33</c:f>
              <c:numCache>
                <c:formatCode>General</c:formatCode>
                <c:ptCount val="26"/>
                <c:pt idx="0">
                  <c:v>43800</c:v>
                </c:pt>
                <c:pt idx="1">
                  <c:v>65400</c:v>
                </c:pt>
                <c:pt idx="2">
                  <c:v>76040.000000000146</c:v>
                </c:pt>
                <c:pt idx="3">
                  <c:v>72600</c:v>
                </c:pt>
                <c:pt idx="4">
                  <c:v>68600</c:v>
                </c:pt>
                <c:pt idx="5">
                  <c:v>47120.000000000073</c:v>
                </c:pt>
                <c:pt idx="6">
                  <c:v>25079.999999999927</c:v>
                </c:pt>
                <c:pt idx="7">
                  <c:v>-15400</c:v>
                </c:pt>
                <c:pt idx="8">
                  <c:v>36600</c:v>
                </c:pt>
                <c:pt idx="9">
                  <c:v>19800</c:v>
                </c:pt>
                <c:pt idx="10">
                  <c:v>4600</c:v>
                </c:pt>
                <c:pt idx="11">
                  <c:v>6040.0000000001455</c:v>
                </c:pt>
                <c:pt idx="12">
                  <c:v>13400</c:v>
                </c:pt>
                <c:pt idx="13">
                  <c:v>-6079.9999999999272</c:v>
                </c:pt>
                <c:pt idx="14">
                  <c:v>-38079.999999999927</c:v>
                </c:pt>
                <c:pt idx="15">
                  <c:v>-79479.999999999927</c:v>
                </c:pt>
                <c:pt idx="16">
                  <c:v>-83400</c:v>
                </c:pt>
                <c:pt idx="17">
                  <c:v>-94239.999999999971</c:v>
                </c:pt>
                <c:pt idx="18">
                  <c:v>-107400</c:v>
                </c:pt>
                <c:pt idx="19">
                  <c:v>-68239.999999999971</c:v>
                </c:pt>
                <c:pt idx="20">
                  <c:v>-76239.999999999971</c:v>
                </c:pt>
                <c:pt idx="21">
                  <c:v>-85839.999999999971</c:v>
                </c:pt>
                <c:pt idx="22">
                  <c:v>-107479.99999999993</c:v>
                </c:pt>
                <c:pt idx="23">
                  <c:v>-119400</c:v>
                </c:pt>
                <c:pt idx="24">
                  <c:v>-121039.99999999997</c:v>
                </c:pt>
                <c:pt idx="25">
                  <c:v>-127360.00000000003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87-4CE5-B2E1-1B00FF817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060672"/>
        <c:axId val="488060192"/>
      </c:lineChart>
      <c:catAx>
        <c:axId val="488054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51552"/>
        <c:crosses val="autoZero"/>
        <c:auto val="1"/>
        <c:lblAlgn val="ctr"/>
        <c:lblOffset val="100"/>
        <c:noMultiLvlLbl val="0"/>
      </c:catAx>
      <c:valAx>
        <c:axId val="48805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54432"/>
        <c:crosses val="autoZero"/>
        <c:crossBetween val="between"/>
      </c:valAx>
      <c:valAx>
        <c:axId val="488060192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60672"/>
        <c:crosses val="max"/>
        <c:crossBetween val="between"/>
      </c:valAx>
      <c:catAx>
        <c:axId val="488060672"/>
        <c:scaling>
          <c:orientation val="minMax"/>
        </c:scaling>
        <c:delete val="1"/>
        <c:axPos val="b"/>
        <c:majorTickMark val="out"/>
        <c:minorTickMark val="none"/>
        <c:tickLblPos val="nextTo"/>
        <c:crossAx val="488060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'Protective Put'!$F$7</c:f>
              <c:strCache>
                <c:ptCount val="1"/>
                <c:pt idx="0">
                  <c:v>P/L Stock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'Protective Put'!$F$8:$F$33</c:f>
              <c:numCache>
                <c:formatCode>#,##0.00</c:formatCode>
                <c:ptCount val="26"/>
                <c:pt idx="0">
                  <c:v>0</c:v>
                </c:pt>
                <c:pt idx="1">
                  <c:v>27</c:v>
                </c:pt>
                <c:pt idx="2" formatCode="General">
                  <c:v>40.300000000000182</c:v>
                </c:pt>
                <c:pt idx="3" formatCode="General">
                  <c:v>36</c:v>
                </c:pt>
                <c:pt idx="4" formatCode="General">
                  <c:v>31</c:v>
                </c:pt>
                <c:pt idx="5" formatCode="General">
                  <c:v>4.1500000000000909</c:v>
                </c:pt>
                <c:pt idx="6" formatCode="General">
                  <c:v>-23.400000000000091</c:v>
                </c:pt>
                <c:pt idx="7" formatCode="General">
                  <c:v>-74</c:v>
                </c:pt>
                <c:pt idx="8" formatCode="General">
                  <c:v>-9</c:v>
                </c:pt>
                <c:pt idx="9" formatCode="General">
                  <c:v>-30</c:v>
                </c:pt>
                <c:pt idx="10" formatCode="General">
                  <c:v>-49</c:v>
                </c:pt>
                <c:pt idx="11" formatCode="General">
                  <c:v>-47.199999999999818</c:v>
                </c:pt>
                <c:pt idx="12" formatCode="General">
                  <c:v>-38</c:v>
                </c:pt>
                <c:pt idx="13" formatCode="General">
                  <c:v>-62.349999999999909</c:v>
                </c:pt>
                <c:pt idx="14" formatCode="General">
                  <c:v>-102.34999999999991</c:v>
                </c:pt>
                <c:pt idx="15" formatCode="General">
                  <c:v>-154.09999999999991</c:v>
                </c:pt>
                <c:pt idx="16" formatCode="General">
                  <c:v>-159</c:v>
                </c:pt>
                <c:pt idx="17" formatCode="General">
                  <c:v>-172.54999999999995</c:v>
                </c:pt>
                <c:pt idx="18" formatCode="General">
                  <c:v>-189</c:v>
                </c:pt>
                <c:pt idx="19" formatCode="General">
                  <c:v>-140.04999999999995</c:v>
                </c:pt>
                <c:pt idx="20" formatCode="General">
                  <c:v>-150.04999999999995</c:v>
                </c:pt>
                <c:pt idx="21" formatCode="General">
                  <c:v>-162.04999999999995</c:v>
                </c:pt>
                <c:pt idx="22" formatCode="General">
                  <c:v>-189.09999999999991</c:v>
                </c:pt>
                <c:pt idx="23" formatCode="General">
                  <c:v>-204</c:v>
                </c:pt>
                <c:pt idx="24" formatCode="General">
                  <c:v>-206.04999999999995</c:v>
                </c:pt>
                <c:pt idx="25" formatCode="General">
                  <c:v>-213.95000000000005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9A-4DCB-8FCD-13698429BBFD}"/>
            </c:ext>
          </c:extLst>
        </c:ser>
        <c:ser>
          <c:idx val="1"/>
          <c:order val="1"/>
          <c:tx>
            <c:strRef>
              <c:f>'Protective Put'!$G$7</c:f>
              <c:strCache>
                <c:ptCount val="1"/>
                <c:pt idx="0">
                  <c:v>P/L 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'Protective Put'!$G$8:$G$33</c:f>
              <c:numCache>
                <c:formatCode>General</c:formatCode>
                <c:ptCount val="26"/>
                <c:pt idx="0">
                  <c:v>-90</c:v>
                </c:pt>
                <c:pt idx="1">
                  <c:v>-90</c:v>
                </c:pt>
                <c:pt idx="2">
                  <c:v>-90</c:v>
                </c:pt>
                <c:pt idx="3">
                  <c:v>-90</c:v>
                </c:pt>
                <c:pt idx="4">
                  <c:v>-90</c:v>
                </c:pt>
                <c:pt idx="5">
                  <c:v>-90</c:v>
                </c:pt>
                <c:pt idx="6">
                  <c:v>-90</c:v>
                </c:pt>
                <c:pt idx="7">
                  <c:v>-70</c:v>
                </c:pt>
                <c:pt idx="8">
                  <c:v>-90</c:v>
                </c:pt>
                <c:pt idx="9">
                  <c:v>-90</c:v>
                </c:pt>
                <c:pt idx="10">
                  <c:v>-90</c:v>
                </c:pt>
                <c:pt idx="11">
                  <c:v>-90</c:v>
                </c:pt>
                <c:pt idx="12">
                  <c:v>-90</c:v>
                </c:pt>
                <c:pt idx="13">
                  <c:v>-81.650000000000091</c:v>
                </c:pt>
                <c:pt idx="14">
                  <c:v>-41.650000000000091</c:v>
                </c:pt>
                <c:pt idx="15">
                  <c:v>10.099999999999909</c:v>
                </c:pt>
                <c:pt idx="16">
                  <c:v>15</c:v>
                </c:pt>
                <c:pt idx="17">
                  <c:v>28.549999999999955</c:v>
                </c:pt>
                <c:pt idx="18">
                  <c:v>45</c:v>
                </c:pt>
                <c:pt idx="19">
                  <c:v>-3.9500000000000455</c:v>
                </c:pt>
                <c:pt idx="20">
                  <c:v>6.0499999999999545</c:v>
                </c:pt>
                <c:pt idx="21">
                  <c:v>18.049999999999955</c:v>
                </c:pt>
                <c:pt idx="22">
                  <c:v>45.099999999999909</c:v>
                </c:pt>
                <c:pt idx="23">
                  <c:v>60</c:v>
                </c:pt>
                <c:pt idx="24">
                  <c:v>62.049999999999955</c:v>
                </c:pt>
                <c:pt idx="25">
                  <c:v>69.950000000000045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A-4DCB-8FCD-13698429BBFD}"/>
            </c:ext>
          </c:extLst>
        </c:ser>
        <c:ser>
          <c:idx val="2"/>
          <c:order val="2"/>
          <c:tx>
            <c:strRef>
              <c:f>'Protective Put'!$H$7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'Protective Put'!$H$8:$H$33</c:f>
              <c:numCache>
                <c:formatCode>General</c:formatCode>
                <c:ptCount val="26"/>
                <c:pt idx="0">
                  <c:v>-72000</c:v>
                </c:pt>
                <c:pt idx="1">
                  <c:v>-50400</c:v>
                </c:pt>
                <c:pt idx="2">
                  <c:v>-39759.999999999854</c:v>
                </c:pt>
                <c:pt idx="3">
                  <c:v>-43200</c:v>
                </c:pt>
                <c:pt idx="4">
                  <c:v>-47200</c:v>
                </c:pt>
                <c:pt idx="5">
                  <c:v>-68679.999999999927</c:v>
                </c:pt>
                <c:pt idx="6">
                  <c:v>-90720.000000000073</c:v>
                </c:pt>
                <c:pt idx="7">
                  <c:v>-115200</c:v>
                </c:pt>
                <c:pt idx="8">
                  <c:v>-79200</c:v>
                </c:pt>
                <c:pt idx="9">
                  <c:v>-96000</c:v>
                </c:pt>
                <c:pt idx="10">
                  <c:v>-111200</c:v>
                </c:pt>
                <c:pt idx="11">
                  <c:v>-109759.99999999985</c:v>
                </c:pt>
                <c:pt idx="12">
                  <c:v>-102400</c:v>
                </c:pt>
                <c:pt idx="13">
                  <c:v>-115200</c:v>
                </c:pt>
                <c:pt idx="14">
                  <c:v>-115200</c:v>
                </c:pt>
                <c:pt idx="15">
                  <c:v>-115200</c:v>
                </c:pt>
                <c:pt idx="16">
                  <c:v>-115200</c:v>
                </c:pt>
                <c:pt idx="17">
                  <c:v>-115200</c:v>
                </c:pt>
                <c:pt idx="18">
                  <c:v>-115200</c:v>
                </c:pt>
                <c:pt idx="19">
                  <c:v>-115200</c:v>
                </c:pt>
                <c:pt idx="20">
                  <c:v>-115200</c:v>
                </c:pt>
                <c:pt idx="21">
                  <c:v>-115200</c:v>
                </c:pt>
                <c:pt idx="22">
                  <c:v>-115200</c:v>
                </c:pt>
                <c:pt idx="23">
                  <c:v>-115200</c:v>
                </c:pt>
                <c:pt idx="24">
                  <c:v>-115200</c:v>
                </c:pt>
                <c:pt idx="25">
                  <c:v>-115200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9A-4DCB-8FCD-13698429B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080352"/>
        <c:axId val="488084672"/>
      </c:lineChart>
      <c:catAx>
        <c:axId val="488080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84672"/>
        <c:crosses val="autoZero"/>
        <c:auto val="1"/>
        <c:lblAlgn val="ctr"/>
        <c:lblOffset val="100"/>
        <c:noMultiLvlLbl val="0"/>
      </c:catAx>
      <c:valAx>
        <c:axId val="48808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8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'Bull Call Spread'!$J$6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'Bull Call Spread'!$J$7:$J$32</c:f>
              <c:numCache>
                <c:formatCode>General</c:formatCode>
                <c:ptCount val="26"/>
                <c:pt idx="0">
                  <c:v>-42320.000000000007</c:v>
                </c:pt>
                <c:pt idx="1">
                  <c:v>-20720.000000000004</c:v>
                </c:pt>
                <c:pt idx="2">
                  <c:v>-10079.999999999858</c:v>
                </c:pt>
                <c:pt idx="3">
                  <c:v>-13520.000000000004</c:v>
                </c:pt>
                <c:pt idx="4">
                  <c:v>-17520.000000000004</c:v>
                </c:pt>
                <c:pt idx="5">
                  <c:v>-38999.999999999935</c:v>
                </c:pt>
                <c:pt idx="6">
                  <c:v>-61040.00000000008</c:v>
                </c:pt>
                <c:pt idx="7">
                  <c:v>-85520</c:v>
                </c:pt>
                <c:pt idx="8">
                  <c:v>-49520.000000000007</c:v>
                </c:pt>
                <c:pt idx="9">
                  <c:v>-66320</c:v>
                </c:pt>
                <c:pt idx="10">
                  <c:v>-81520</c:v>
                </c:pt>
                <c:pt idx="11">
                  <c:v>-80079.999999999854</c:v>
                </c:pt>
                <c:pt idx="12">
                  <c:v>-72720</c:v>
                </c:pt>
                <c:pt idx="13">
                  <c:v>-85520</c:v>
                </c:pt>
                <c:pt idx="14">
                  <c:v>-85520</c:v>
                </c:pt>
                <c:pt idx="15">
                  <c:v>-85520</c:v>
                </c:pt>
                <c:pt idx="16">
                  <c:v>-85520</c:v>
                </c:pt>
                <c:pt idx="17">
                  <c:v>-85520</c:v>
                </c:pt>
                <c:pt idx="18">
                  <c:v>-85520</c:v>
                </c:pt>
                <c:pt idx="19">
                  <c:v>-85520</c:v>
                </c:pt>
                <c:pt idx="20">
                  <c:v>-85520</c:v>
                </c:pt>
                <c:pt idx="21">
                  <c:v>-85520</c:v>
                </c:pt>
                <c:pt idx="22">
                  <c:v>-85520</c:v>
                </c:pt>
                <c:pt idx="23">
                  <c:v>-85520</c:v>
                </c:pt>
                <c:pt idx="24">
                  <c:v>-85520</c:v>
                </c:pt>
                <c:pt idx="25">
                  <c:v>-85520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A5-48CD-860F-C24DF18CD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042912"/>
        <c:axId val="488052032"/>
      </c:lineChart>
      <c:catAx>
        <c:axId val="48804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52032"/>
        <c:crosses val="autoZero"/>
        <c:auto val="1"/>
        <c:lblAlgn val="ctr"/>
        <c:lblOffset val="100"/>
        <c:noMultiLvlLbl val="0"/>
      </c:catAx>
      <c:valAx>
        <c:axId val="48805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4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'Bull Put Spread'!$J$6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'Bull Put Spread'!$J$7:$J$32</c:f>
              <c:numCache>
                <c:formatCode>General</c:formatCode>
                <c:ptCount val="26"/>
                <c:pt idx="0">
                  <c:v>52800</c:v>
                </c:pt>
                <c:pt idx="1">
                  <c:v>52800</c:v>
                </c:pt>
                <c:pt idx="2">
                  <c:v>52800</c:v>
                </c:pt>
                <c:pt idx="3">
                  <c:v>52800</c:v>
                </c:pt>
                <c:pt idx="4">
                  <c:v>52800</c:v>
                </c:pt>
                <c:pt idx="5">
                  <c:v>52800</c:v>
                </c:pt>
                <c:pt idx="6">
                  <c:v>52800</c:v>
                </c:pt>
                <c:pt idx="7">
                  <c:v>36800</c:v>
                </c:pt>
                <c:pt idx="8">
                  <c:v>52800</c:v>
                </c:pt>
                <c:pt idx="9">
                  <c:v>52800</c:v>
                </c:pt>
                <c:pt idx="10">
                  <c:v>52800</c:v>
                </c:pt>
                <c:pt idx="11">
                  <c:v>52800</c:v>
                </c:pt>
                <c:pt idx="12">
                  <c:v>52800</c:v>
                </c:pt>
                <c:pt idx="13">
                  <c:v>46120.000000000073</c:v>
                </c:pt>
                <c:pt idx="14">
                  <c:v>14120.000000000073</c:v>
                </c:pt>
                <c:pt idx="15">
                  <c:v>-11200</c:v>
                </c:pt>
                <c:pt idx="16">
                  <c:v>-11200</c:v>
                </c:pt>
                <c:pt idx="17">
                  <c:v>-11200</c:v>
                </c:pt>
                <c:pt idx="18">
                  <c:v>-11200</c:v>
                </c:pt>
                <c:pt idx="19">
                  <c:v>-11200</c:v>
                </c:pt>
                <c:pt idx="20">
                  <c:v>-11200</c:v>
                </c:pt>
                <c:pt idx="21">
                  <c:v>-11200</c:v>
                </c:pt>
                <c:pt idx="22">
                  <c:v>-11200</c:v>
                </c:pt>
                <c:pt idx="23">
                  <c:v>-11200</c:v>
                </c:pt>
                <c:pt idx="24">
                  <c:v>-11200</c:v>
                </c:pt>
                <c:pt idx="25">
                  <c:v>-11200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C-4508-9957-0567BFD1C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051072"/>
        <c:axId val="488040032"/>
      </c:lineChart>
      <c:catAx>
        <c:axId val="48805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40032"/>
        <c:crosses val="autoZero"/>
        <c:auto val="1"/>
        <c:lblAlgn val="ctr"/>
        <c:lblOffset val="100"/>
        <c:noMultiLvlLbl val="0"/>
      </c:catAx>
      <c:valAx>
        <c:axId val="48804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5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'Bear Call Spread'!$J$6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'Bear Call Spread'!$J$7:$J$32</c:f>
              <c:numCache>
                <c:formatCode>General</c:formatCode>
                <c:ptCount val="26"/>
                <c:pt idx="0">
                  <c:v>11000</c:v>
                </c:pt>
                <c:pt idx="1">
                  <c:v>11000</c:v>
                </c:pt>
                <c:pt idx="2">
                  <c:v>11000</c:v>
                </c:pt>
                <c:pt idx="3">
                  <c:v>11000</c:v>
                </c:pt>
                <c:pt idx="4">
                  <c:v>11000</c:v>
                </c:pt>
                <c:pt idx="5">
                  <c:v>11000</c:v>
                </c:pt>
                <c:pt idx="6">
                  <c:v>11000</c:v>
                </c:pt>
                <c:pt idx="7">
                  <c:v>11000</c:v>
                </c:pt>
                <c:pt idx="8">
                  <c:v>11000</c:v>
                </c:pt>
                <c:pt idx="9">
                  <c:v>11000</c:v>
                </c:pt>
                <c:pt idx="10">
                  <c:v>11000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11000</c:v>
                </c:pt>
                <c:pt idx="16">
                  <c:v>11000</c:v>
                </c:pt>
                <c:pt idx="17">
                  <c:v>11000</c:v>
                </c:pt>
                <c:pt idx="18">
                  <c:v>11000</c:v>
                </c:pt>
                <c:pt idx="19">
                  <c:v>11000</c:v>
                </c:pt>
                <c:pt idx="20">
                  <c:v>11000</c:v>
                </c:pt>
                <c:pt idx="21">
                  <c:v>11000</c:v>
                </c:pt>
                <c:pt idx="22">
                  <c:v>11000</c:v>
                </c:pt>
                <c:pt idx="23">
                  <c:v>11000</c:v>
                </c:pt>
                <c:pt idx="24">
                  <c:v>11000</c:v>
                </c:pt>
                <c:pt idx="25">
                  <c:v>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7-42CC-AA3A-D4BAF8197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084192"/>
        <c:axId val="488075072"/>
      </c:lineChart>
      <c:catAx>
        <c:axId val="48808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75072"/>
        <c:crosses val="autoZero"/>
        <c:auto val="1"/>
        <c:lblAlgn val="ctr"/>
        <c:lblOffset val="100"/>
        <c:noMultiLvlLbl val="0"/>
      </c:catAx>
      <c:valAx>
        <c:axId val="48807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8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'Bear Put Spread'!$J$6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'Bear Put Spread'!$J$7:$J$32</c:f>
              <c:numCache>
                <c:formatCode>General</c:formatCode>
                <c:ptCount val="26"/>
                <c:pt idx="0">
                  <c:v>1605088</c:v>
                </c:pt>
                <c:pt idx="1">
                  <c:v>1605088</c:v>
                </c:pt>
                <c:pt idx="2">
                  <c:v>1605088</c:v>
                </c:pt>
                <c:pt idx="3">
                  <c:v>1605088</c:v>
                </c:pt>
                <c:pt idx="4">
                  <c:v>1605088</c:v>
                </c:pt>
                <c:pt idx="5">
                  <c:v>1605088</c:v>
                </c:pt>
                <c:pt idx="6">
                  <c:v>1605088</c:v>
                </c:pt>
                <c:pt idx="7">
                  <c:v>1605088</c:v>
                </c:pt>
                <c:pt idx="8">
                  <c:v>1605088</c:v>
                </c:pt>
                <c:pt idx="9">
                  <c:v>1605088</c:v>
                </c:pt>
                <c:pt idx="10">
                  <c:v>1605088</c:v>
                </c:pt>
                <c:pt idx="11">
                  <c:v>1605088</c:v>
                </c:pt>
                <c:pt idx="12">
                  <c:v>1605088</c:v>
                </c:pt>
                <c:pt idx="13">
                  <c:v>1605088</c:v>
                </c:pt>
                <c:pt idx="14">
                  <c:v>1605088</c:v>
                </c:pt>
                <c:pt idx="15">
                  <c:v>1605088</c:v>
                </c:pt>
                <c:pt idx="16">
                  <c:v>1605088</c:v>
                </c:pt>
                <c:pt idx="17">
                  <c:v>1605088.0000000002</c:v>
                </c:pt>
                <c:pt idx="18">
                  <c:v>1605088</c:v>
                </c:pt>
                <c:pt idx="19">
                  <c:v>1605088.0000000002</c:v>
                </c:pt>
                <c:pt idx="20">
                  <c:v>1605088.0000000002</c:v>
                </c:pt>
                <c:pt idx="21">
                  <c:v>1605088.0000000002</c:v>
                </c:pt>
                <c:pt idx="22">
                  <c:v>1605088</c:v>
                </c:pt>
                <c:pt idx="23">
                  <c:v>1605088</c:v>
                </c:pt>
                <c:pt idx="24">
                  <c:v>1605088.0000000002</c:v>
                </c:pt>
                <c:pt idx="25">
                  <c:v>1605088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2-4290-A64E-14CB631B9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061632"/>
        <c:axId val="488062112"/>
      </c:lineChart>
      <c:catAx>
        <c:axId val="48806163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62112"/>
        <c:crosses val="max"/>
        <c:auto val="1"/>
        <c:lblAlgn val="ctr"/>
        <c:lblOffset val="100"/>
        <c:noMultiLvlLbl val="0"/>
      </c:catAx>
      <c:valAx>
        <c:axId val="48806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6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 Straddle'!$J$6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'Long Straddle'!$J$7:$J$32</c:f>
              <c:numCache>
                <c:formatCode>General</c:formatCode>
                <c:ptCount val="26"/>
                <c:pt idx="0">
                  <c:v>-158120</c:v>
                </c:pt>
                <c:pt idx="1">
                  <c:v>-136520</c:v>
                </c:pt>
                <c:pt idx="2">
                  <c:v>-125879.99999999985</c:v>
                </c:pt>
                <c:pt idx="3">
                  <c:v>-129320</c:v>
                </c:pt>
                <c:pt idx="4">
                  <c:v>-133320</c:v>
                </c:pt>
                <c:pt idx="5">
                  <c:v>-154799.99999999994</c:v>
                </c:pt>
                <c:pt idx="6">
                  <c:v>-176840.00000000009</c:v>
                </c:pt>
                <c:pt idx="7">
                  <c:v>-185320</c:v>
                </c:pt>
                <c:pt idx="8">
                  <c:v>-165320</c:v>
                </c:pt>
                <c:pt idx="9">
                  <c:v>-182120</c:v>
                </c:pt>
                <c:pt idx="10">
                  <c:v>-197320</c:v>
                </c:pt>
                <c:pt idx="11">
                  <c:v>-195879.99999999985</c:v>
                </c:pt>
                <c:pt idx="12">
                  <c:v>-188520</c:v>
                </c:pt>
                <c:pt idx="13">
                  <c:v>-194640.00000000009</c:v>
                </c:pt>
                <c:pt idx="14">
                  <c:v>-162640.00000000009</c:v>
                </c:pt>
                <c:pt idx="15">
                  <c:v>-121240.00000000007</c:v>
                </c:pt>
                <c:pt idx="16">
                  <c:v>-117320</c:v>
                </c:pt>
                <c:pt idx="17">
                  <c:v>-106480.00000000004</c:v>
                </c:pt>
                <c:pt idx="18">
                  <c:v>-93320</c:v>
                </c:pt>
                <c:pt idx="19">
                  <c:v>-132480.00000000003</c:v>
                </c:pt>
                <c:pt idx="20">
                  <c:v>-124480.00000000004</c:v>
                </c:pt>
                <c:pt idx="21">
                  <c:v>-114880.00000000004</c:v>
                </c:pt>
                <c:pt idx="22">
                  <c:v>-93240.000000000073</c:v>
                </c:pt>
                <c:pt idx="23">
                  <c:v>-81320</c:v>
                </c:pt>
                <c:pt idx="24">
                  <c:v>-79680.000000000044</c:v>
                </c:pt>
                <c:pt idx="25">
                  <c:v>-73359.999999999971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9-44D4-8794-7D4DBBE53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869888"/>
        <c:axId val="325877568"/>
      </c:lineChart>
      <c:catAx>
        <c:axId val="3258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77568"/>
        <c:crosses val="autoZero"/>
        <c:auto val="1"/>
        <c:lblAlgn val="ctr"/>
        <c:lblOffset val="100"/>
        <c:noMultiLvlLbl val="0"/>
      </c:catAx>
      <c:valAx>
        <c:axId val="32587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6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'Short Straddle'!$J$6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'Short Straddle'!$J$7:$J$32</c:f>
              <c:numCache>
                <c:formatCode>General</c:formatCode>
                <c:ptCount val="26"/>
                <c:pt idx="0">
                  <c:v>145912</c:v>
                </c:pt>
                <c:pt idx="1">
                  <c:v>167512</c:v>
                </c:pt>
                <c:pt idx="2">
                  <c:v>178152.00000000015</c:v>
                </c:pt>
                <c:pt idx="3">
                  <c:v>174712</c:v>
                </c:pt>
                <c:pt idx="4">
                  <c:v>170712</c:v>
                </c:pt>
                <c:pt idx="5">
                  <c:v>149232.00000000006</c:v>
                </c:pt>
                <c:pt idx="6">
                  <c:v>127191.99999999991</c:v>
                </c:pt>
                <c:pt idx="7">
                  <c:v>86711.999999999985</c:v>
                </c:pt>
                <c:pt idx="8">
                  <c:v>138712</c:v>
                </c:pt>
                <c:pt idx="9">
                  <c:v>121911.99999999999</c:v>
                </c:pt>
                <c:pt idx="10">
                  <c:v>106711.99999999999</c:v>
                </c:pt>
                <c:pt idx="11">
                  <c:v>108152.00000000013</c:v>
                </c:pt>
                <c:pt idx="12">
                  <c:v>115511.99999999999</c:v>
                </c:pt>
                <c:pt idx="13">
                  <c:v>96032.000000000058</c:v>
                </c:pt>
                <c:pt idx="14">
                  <c:v>64032.000000000058</c:v>
                </c:pt>
                <c:pt idx="15">
                  <c:v>22632.000000000062</c:v>
                </c:pt>
                <c:pt idx="16">
                  <c:v>18711.999999999989</c:v>
                </c:pt>
                <c:pt idx="17">
                  <c:v>7872.0000000000255</c:v>
                </c:pt>
                <c:pt idx="18">
                  <c:v>-5288.0000000000109</c:v>
                </c:pt>
                <c:pt idx="19">
                  <c:v>33872.000000000029</c:v>
                </c:pt>
                <c:pt idx="20">
                  <c:v>25872.000000000025</c:v>
                </c:pt>
                <c:pt idx="21">
                  <c:v>16272.000000000025</c:v>
                </c:pt>
                <c:pt idx="22">
                  <c:v>-5367.9999999999382</c:v>
                </c:pt>
                <c:pt idx="23">
                  <c:v>-17288.000000000011</c:v>
                </c:pt>
                <c:pt idx="24">
                  <c:v>-18927.999999999975</c:v>
                </c:pt>
                <c:pt idx="25">
                  <c:v>-25248.000000000047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2-4D5E-AB0C-32A69F056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045312"/>
        <c:axId val="488058752"/>
      </c:lineChart>
      <c:catAx>
        <c:axId val="48804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58752"/>
        <c:crosses val="autoZero"/>
        <c:auto val="1"/>
        <c:lblAlgn val="ctr"/>
        <c:lblOffset val="100"/>
        <c:noMultiLvlLbl val="0"/>
      </c:catAx>
      <c:valAx>
        <c:axId val="48805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4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 Strangle'!$J$7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'Long Strangle'!$J$8:$J$33</c:f>
              <c:numCache>
                <c:formatCode>General</c:formatCode>
                <c:ptCount val="26"/>
                <c:pt idx="0">
                  <c:v>-115800</c:v>
                </c:pt>
                <c:pt idx="1">
                  <c:v>-115800</c:v>
                </c:pt>
                <c:pt idx="2">
                  <c:v>-115800</c:v>
                </c:pt>
                <c:pt idx="3">
                  <c:v>-115800</c:v>
                </c:pt>
                <c:pt idx="4">
                  <c:v>-115800</c:v>
                </c:pt>
                <c:pt idx="5">
                  <c:v>-115800</c:v>
                </c:pt>
                <c:pt idx="6">
                  <c:v>-115800</c:v>
                </c:pt>
                <c:pt idx="7">
                  <c:v>-99800</c:v>
                </c:pt>
                <c:pt idx="8">
                  <c:v>-115800</c:v>
                </c:pt>
                <c:pt idx="9">
                  <c:v>-115800</c:v>
                </c:pt>
                <c:pt idx="10">
                  <c:v>-115800</c:v>
                </c:pt>
                <c:pt idx="11">
                  <c:v>-115800</c:v>
                </c:pt>
                <c:pt idx="12">
                  <c:v>-115800</c:v>
                </c:pt>
                <c:pt idx="13">
                  <c:v>-109120.00000000007</c:v>
                </c:pt>
                <c:pt idx="14">
                  <c:v>-77120.000000000073</c:v>
                </c:pt>
                <c:pt idx="15">
                  <c:v>-35720.000000000073</c:v>
                </c:pt>
                <c:pt idx="16">
                  <c:v>-31800</c:v>
                </c:pt>
                <c:pt idx="17">
                  <c:v>-20960.000000000036</c:v>
                </c:pt>
                <c:pt idx="18">
                  <c:v>-7800</c:v>
                </c:pt>
                <c:pt idx="19">
                  <c:v>-46960.000000000036</c:v>
                </c:pt>
                <c:pt idx="20">
                  <c:v>-38960.000000000036</c:v>
                </c:pt>
                <c:pt idx="21">
                  <c:v>-29360.000000000036</c:v>
                </c:pt>
                <c:pt idx="22">
                  <c:v>-7720.0000000000728</c:v>
                </c:pt>
                <c:pt idx="23">
                  <c:v>4200</c:v>
                </c:pt>
                <c:pt idx="24">
                  <c:v>5839.9999999999636</c:v>
                </c:pt>
                <c:pt idx="25">
                  <c:v>12160.000000000036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49-47E3-B13D-3FFA61279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874208"/>
        <c:axId val="325887168"/>
      </c:lineChart>
      <c:catAx>
        <c:axId val="32587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87168"/>
        <c:crosses val="autoZero"/>
        <c:auto val="1"/>
        <c:lblAlgn val="ctr"/>
        <c:lblOffset val="100"/>
        <c:noMultiLvlLbl val="0"/>
      </c:catAx>
      <c:valAx>
        <c:axId val="32588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7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'Short Strangle'!$J$6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'Short Strangle'!$J$7:$J$32</c:f>
              <c:numCache>
                <c:formatCode>General</c:formatCode>
                <c:ptCount val="26"/>
                <c:pt idx="0">
                  <c:v>115800</c:v>
                </c:pt>
                <c:pt idx="1">
                  <c:v>115800</c:v>
                </c:pt>
                <c:pt idx="2">
                  <c:v>115800</c:v>
                </c:pt>
                <c:pt idx="3">
                  <c:v>115800</c:v>
                </c:pt>
                <c:pt idx="4">
                  <c:v>115800</c:v>
                </c:pt>
                <c:pt idx="5">
                  <c:v>115800</c:v>
                </c:pt>
                <c:pt idx="6">
                  <c:v>115800</c:v>
                </c:pt>
                <c:pt idx="7">
                  <c:v>99800</c:v>
                </c:pt>
                <c:pt idx="8">
                  <c:v>115800</c:v>
                </c:pt>
                <c:pt idx="9">
                  <c:v>115800</c:v>
                </c:pt>
                <c:pt idx="10">
                  <c:v>115800</c:v>
                </c:pt>
                <c:pt idx="11">
                  <c:v>115800</c:v>
                </c:pt>
                <c:pt idx="12">
                  <c:v>115800</c:v>
                </c:pt>
                <c:pt idx="13">
                  <c:v>109120.00000000007</c:v>
                </c:pt>
                <c:pt idx="14">
                  <c:v>77120.000000000073</c:v>
                </c:pt>
                <c:pt idx="15">
                  <c:v>35720.000000000073</c:v>
                </c:pt>
                <c:pt idx="16">
                  <c:v>31800</c:v>
                </c:pt>
                <c:pt idx="17">
                  <c:v>20960.000000000036</c:v>
                </c:pt>
                <c:pt idx="18">
                  <c:v>7800</c:v>
                </c:pt>
                <c:pt idx="19">
                  <c:v>46960.000000000036</c:v>
                </c:pt>
                <c:pt idx="20">
                  <c:v>38960.000000000036</c:v>
                </c:pt>
                <c:pt idx="21">
                  <c:v>29360.000000000036</c:v>
                </c:pt>
                <c:pt idx="22">
                  <c:v>7720.0000000000728</c:v>
                </c:pt>
                <c:pt idx="23">
                  <c:v>-4200</c:v>
                </c:pt>
                <c:pt idx="24">
                  <c:v>-5839.9999999999636</c:v>
                </c:pt>
                <c:pt idx="25">
                  <c:v>-12160.000000000036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15-4D36-BF0E-6E5AFE023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4435712"/>
        <c:axId val="294429952"/>
      </c:lineChart>
      <c:catAx>
        <c:axId val="29443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29952"/>
        <c:crosses val="autoZero"/>
        <c:auto val="1"/>
        <c:lblAlgn val="ctr"/>
        <c:lblOffset val="100"/>
        <c:noMultiLvlLbl val="0"/>
      </c:catAx>
      <c:valAx>
        <c:axId val="29442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3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596900</xdr:colOff>
      <xdr:row>0</xdr:row>
      <xdr:rowOff>55034</xdr:rowOff>
    </xdr:from>
    <xdr:to>
      <xdr:col>21</xdr:col>
      <xdr:colOff>292100</xdr:colOff>
      <xdr:row>15</xdr:row>
      <xdr:rowOff>4234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C22DD5-7CFC-5B98-79C2-AAB37476E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4233</xdr:colOff>
      <xdr:row>15</xdr:row>
      <xdr:rowOff>173567</xdr:rowOff>
    </xdr:from>
    <xdr:to>
      <xdr:col>21</xdr:col>
      <xdr:colOff>309033</xdr:colOff>
      <xdr:row>30</xdr:row>
      <xdr:rowOff>122767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E60307-98C2-72B3-4EA2-2CF2079DC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4233</xdr:colOff>
      <xdr:row>31</xdr:row>
      <xdr:rowOff>80434</xdr:rowOff>
    </xdr:from>
    <xdr:to>
      <xdr:col>21</xdr:col>
      <xdr:colOff>309033</xdr:colOff>
      <xdr:row>46</xdr:row>
      <xdr:rowOff>29634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10F15B-8D25-AA00-C04D-307FA44B2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605367</xdr:colOff>
      <xdr:row>46</xdr:row>
      <xdr:rowOff>165100</xdr:rowOff>
    </xdr:from>
    <xdr:to>
      <xdr:col>21</xdr:col>
      <xdr:colOff>300567</xdr:colOff>
      <xdr:row>61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BB1983-5E4A-C75F-BE4D-D16359AF7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605367</xdr:colOff>
      <xdr:row>62</xdr:row>
      <xdr:rowOff>71968</xdr:rowOff>
    </xdr:from>
    <xdr:to>
      <xdr:col>21</xdr:col>
      <xdr:colOff>300567</xdr:colOff>
      <xdr:row>77</xdr:row>
      <xdr:rowOff>21168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BBB7FA4-0C21-0F35-9064-848F4A38D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4233</xdr:colOff>
      <xdr:row>0</xdr:row>
      <xdr:rowOff>55034</xdr:rowOff>
    </xdr:from>
    <xdr:to>
      <xdr:col>29</xdr:col>
      <xdr:colOff>309033</xdr:colOff>
      <xdr:row>15</xdr:row>
      <xdr:rowOff>4234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CAEA4EA-11B1-8C12-ADC6-F873CC8A0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596900</xdr:colOff>
      <xdr:row>15</xdr:row>
      <xdr:rowOff>182033</xdr:rowOff>
    </xdr:from>
    <xdr:to>
      <xdr:col>29</xdr:col>
      <xdr:colOff>292100</xdr:colOff>
      <xdr:row>30</xdr:row>
      <xdr:rowOff>131233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4D83BEF-5965-2ACE-99B4-2F35A585E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4234</xdr:colOff>
      <xdr:row>46</xdr:row>
      <xdr:rowOff>182034</xdr:rowOff>
    </xdr:from>
    <xdr:to>
      <xdr:col>29</xdr:col>
      <xdr:colOff>309034</xdr:colOff>
      <xdr:row>61</xdr:row>
      <xdr:rowOff>131234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3FC63C5-9692-A85E-1A9B-F3CBE8EBF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4234</xdr:colOff>
      <xdr:row>62</xdr:row>
      <xdr:rowOff>88901</xdr:rowOff>
    </xdr:from>
    <xdr:to>
      <xdr:col>29</xdr:col>
      <xdr:colOff>309034</xdr:colOff>
      <xdr:row>77</xdr:row>
      <xdr:rowOff>38101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A69D3EB-512A-AD1A-7665-476659E3C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605367</xdr:colOff>
      <xdr:row>31</xdr:row>
      <xdr:rowOff>114299</xdr:rowOff>
    </xdr:from>
    <xdr:to>
      <xdr:col>29</xdr:col>
      <xdr:colOff>300567</xdr:colOff>
      <xdr:row>46</xdr:row>
      <xdr:rowOff>16933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F2C2C8A-0AAA-E534-06DC-65BBCB21C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35718</xdr:colOff>
      <xdr:row>6</xdr:row>
      <xdr:rowOff>1587</xdr:rowOff>
    </xdr:from>
    <xdr:to>
      <xdr:col>16</xdr:col>
      <xdr:colOff>273843</xdr:colOff>
      <xdr:row>21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52F977-9569-641D-C428-F682851CB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15875</xdr:colOff>
      <xdr:row>6</xdr:row>
      <xdr:rowOff>12699</xdr:rowOff>
    </xdr:from>
    <xdr:to>
      <xdr:col>15</xdr:col>
      <xdr:colOff>25400</xdr:colOff>
      <xdr:row>19</xdr:row>
      <xdr:rowOff>34924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485AF1-674A-6F42-3A76-E55454B2B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596899</xdr:colOff>
      <xdr:row>4</xdr:row>
      <xdr:rowOff>177799</xdr:rowOff>
    </xdr:from>
    <xdr:to>
      <xdr:col>17</xdr:col>
      <xdr:colOff>422274</xdr:colOff>
      <xdr:row>18</xdr:row>
      <xdr:rowOff>117474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8DDA5-E29E-1FC9-65EB-56599EFA6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34925</xdr:colOff>
      <xdr:row>5</xdr:row>
      <xdr:rowOff>69849</xdr:rowOff>
    </xdr:from>
    <xdr:to>
      <xdr:col>17</xdr:col>
      <xdr:colOff>546100</xdr:colOff>
      <xdr:row>19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8558FC-20F7-113D-5865-E0AA889D0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22225</xdr:colOff>
      <xdr:row>4</xdr:row>
      <xdr:rowOff>184149</xdr:rowOff>
    </xdr:from>
    <xdr:to>
      <xdr:col>17</xdr:col>
      <xdr:colOff>336550</xdr:colOff>
      <xdr:row>18</xdr:row>
      <xdr:rowOff>79374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2106D8-B014-C34B-C78A-6AD6A9BA6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593725</xdr:colOff>
      <xdr:row>5</xdr:row>
      <xdr:rowOff>38099</xdr:rowOff>
    </xdr:from>
    <xdr:to>
      <xdr:col>17</xdr:col>
      <xdr:colOff>400050</xdr:colOff>
      <xdr:row>18</xdr:row>
      <xdr:rowOff>85724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576733-35CB-F3B2-675C-1C4E2B80B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581025</xdr:colOff>
      <xdr:row>5</xdr:row>
      <xdr:rowOff>12699</xdr:rowOff>
    </xdr:from>
    <xdr:to>
      <xdr:col>17</xdr:col>
      <xdr:colOff>539750</xdr:colOff>
      <xdr:row>19</xdr:row>
      <xdr:rowOff>73024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BB3753-7C3B-D179-4843-A98E5BBE5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3175</xdr:colOff>
      <xdr:row>4</xdr:row>
      <xdr:rowOff>184149</xdr:rowOff>
    </xdr:from>
    <xdr:to>
      <xdr:col>17</xdr:col>
      <xdr:colOff>152400</xdr:colOff>
      <xdr:row>18</xdr:row>
      <xdr:rowOff>3174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EE272-5B49-5819-8AE3-82C781490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6</xdr:row>
      <xdr:rowOff>25399</xdr:rowOff>
    </xdr:from>
    <xdr:to>
      <xdr:col>17</xdr:col>
      <xdr:colOff>565150</xdr:colOff>
      <xdr:row>18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310D22-1F80-2F80-1142-D4DB7311E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517525</xdr:colOff>
      <xdr:row>5</xdr:row>
      <xdr:rowOff>6349</xdr:rowOff>
    </xdr:from>
    <xdr:to>
      <xdr:col>17</xdr:col>
      <xdr:colOff>196850</xdr:colOff>
      <xdr:row>17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65C3A9-43D8-F1BB-F756-B9B74E108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topstockresearch.com/rt/Stock/UBL/FuturesAndOptions" TargetMode="External"/><Relationship Id="rId1" Type="http://schemas.openxmlformats.org/officeDocument/2006/relationships/hyperlink" Target="https://www.nseindia.com/get-quotes/derivatives?symbol=UB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030D-F5BD-47EA-8017-1565D04F64F1}">
  <sheetPr codeName="Sheet2"/>
  <dimension ref="A1:M32"/>
  <sheetViews>
    <sheetView topLeftCell="A2" zoomScale="75" zoomScaleNormal="85" workbookViewId="0">
      <selection activeCell="B3" sqref="B3"/>
    </sheetView>
  </sheetViews>
  <sheetFormatPr defaultRowHeight="14.4" x14ac:dyDescent="0.3"/>
  <cols>
    <col min="1" max="1" width="12.5546875" customWidth="1"/>
    <col min="2" max="2" width="11.6640625" customWidth="1"/>
    <col min="3" max="3" width="11.5546875" customWidth="1"/>
  </cols>
  <sheetData>
    <row r="1" spans="1:13" x14ac:dyDescent="0.3">
      <c r="A1" s="2" t="s">
        <v>0</v>
      </c>
      <c r="B1" s="2" t="s">
        <v>1</v>
      </c>
      <c r="C1" s="22">
        <v>2180</v>
      </c>
      <c r="D1" s="22"/>
      <c r="E1" s="23">
        <v>2080</v>
      </c>
      <c r="F1" s="23"/>
      <c r="G1" s="23">
        <v>2000</v>
      </c>
      <c r="H1" s="23"/>
      <c r="I1" s="23">
        <v>2280</v>
      </c>
      <c r="J1" s="23"/>
      <c r="K1" s="23">
        <v>2300</v>
      </c>
      <c r="L1" s="23"/>
      <c r="M1" s="2" t="s">
        <v>2</v>
      </c>
    </row>
    <row r="2" spans="1:13" x14ac:dyDescent="0.3">
      <c r="C2" s="3" t="s">
        <v>3</v>
      </c>
      <c r="D2" s="4" t="s">
        <v>4</v>
      </c>
      <c r="E2" s="3" t="s">
        <v>3</v>
      </c>
      <c r="F2" s="4" t="s">
        <v>4</v>
      </c>
      <c r="G2" s="3" t="s">
        <v>3</v>
      </c>
      <c r="H2" s="4" t="s">
        <v>4</v>
      </c>
      <c r="I2" s="3" t="s">
        <v>3</v>
      </c>
      <c r="J2" s="4" t="s">
        <v>4</v>
      </c>
      <c r="K2" s="3" t="s">
        <v>3</v>
      </c>
      <c r="L2" s="4" t="s">
        <v>4</v>
      </c>
    </row>
    <row r="3" spans="1:13" x14ac:dyDescent="0.3">
      <c r="A3" s="1">
        <v>45560</v>
      </c>
      <c r="B3" s="1">
        <v>45596</v>
      </c>
      <c r="C3">
        <v>54.75</v>
      </c>
      <c r="D3" t="s">
        <v>5</v>
      </c>
      <c r="E3" t="s">
        <v>5</v>
      </c>
      <c r="F3">
        <v>90</v>
      </c>
      <c r="G3">
        <v>0.05</v>
      </c>
      <c r="H3">
        <v>24</v>
      </c>
      <c r="I3">
        <v>41</v>
      </c>
      <c r="J3" t="s">
        <v>5</v>
      </c>
      <c r="K3">
        <v>25.25</v>
      </c>
      <c r="L3" t="s">
        <v>5</v>
      </c>
      <c r="M3" s="5">
        <v>2134</v>
      </c>
    </row>
    <row r="4" spans="1:13" x14ac:dyDescent="0.3">
      <c r="A4" s="1">
        <v>45561</v>
      </c>
      <c r="B4" s="1">
        <v>45596</v>
      </c>
      <c r="C4">
        <v>68.5</v>
      </c>
      <c r="D4" t="s">
        <v>5</v>
      </c>
      <c r="E4" t="s">
        <v>5</v>
      </c>
      <c r="F4">
        <v>90</v>
      </c>
      <c r="G4">
        <v>1</v>
      </c>
      <c r="H4">
        <v>16.899999999999999</v>
      </c>
      <c r="I4">
        <v>41</v>
      </c>
      <c r="J4" t="s">
        <v>5</v>
      </c>
      <c r="K4">
        <v>32.950000000000003</v>
      </c>
      <c r="L4" t="s">
        <v>5</v>
      </c>
      <c r="M4" s="5">
        <v>2161</v>
      </c>
    </row>
    <row r="5" spans="1:13" x14ac:dyDescent="0.3">
      <c r="A5" s="1">
        <v>45562</v>
      </c>
      <c r="B5" s="1">
        <v>45596</v>
      </c>
      <c r="C5">
        <v>78.400000000000006</v>
      </c>
      <c r="D5">
        <v>59.5</v>
      </c>
      <c r="E5">
        <v>147.44999999999999</v>
      </c>
      <c r="F5">
        <v>21.8</v>
      </c>
      <c r="G5">
        <v>1.6</v>
      </c>
      <c r="H5">
        <v>10</v>
      </c>
      <c r="I5">
        <v>41</v>
      </c>
      <c r="J5" t="s">
        <v>5</v>
      </c>
      <c r="K5">
        <v>34.549999999999997</v>
      </c>
      <c r="L5">
        <v>126.4</v>
      </c>
      <c r="M5" s="5">
        <v>2174.3000000000002</v>
      </c>
    </row>
    <row r="6" spans="1:13" x14ac:dyDescent="0.3">
      <c r="A6" s="1">
        <v>45565</v>
      </c>
      <c r="B6" s="1">
        <v>45596</v>
      </c>
      <c r="C6">
        <v>76</v>
      </c>
      <c r="D6">
        <v>61.1</v>
      </c>
      <c r="E6">
        <v>147.44999999999999</v>
      </c>
      <c r="F6">
        <v>21.8</v>
      </c>
      <c r="G6">
        <v>5</v>
      </c>
      <c r="H6">
        <v>10.8</v>
      </c>
      <c r="I6">
        <v>41</v>
      </c>
      <c r="J6" t="s">
        <v>5</v>
      </c>
      <c r="K6">
        <v>31</v>
      </c>
      <c r="L6">
        <v>126.4</v>
      </c>
      <c r="M6" s="5">
        <v>2170</v>
      </c>
    </row>
    <row r="7" spans="1:13" x14ac:dyDescent="0.3">
      <c r="A7" s="1">
        <v>45566</v>
      </c>
      <c r="B7" s="1">
        <v>45596</v>
      </c>
      <c r="C7">
        <v>60.1</v>
      </c>
      <c r="D7">
        <v>60.05</v>
      </c>
      <c r="E7">
        <v>147.44999999999999</v>
      </c>
      <c r="F7">
        <v>21.8</v>
      </c>
      <c r="G7">
        <v>10</v>
      </c>
      <c r="H7">
        <v>9.4499999999999993</v>
      </c>
      <c r="I7">
        <v>41</v>
      </c>
      <c r="J7" t="s">
        <v>5</v>
      </c>
      <c r="K7">
        <v>22.9</v>
      </c>
      <c r="L7">
        <v>126.4</v>
      </c>
      <c r="M7" s="5">
        <v>2165</v>
      </c>
    </row>
    <row r="8" spans="1:13" x14ac:dyDescent="0.3">
      <c r="A8" s="1">
        <v>45568</v>
      </c>
      <c r="B8" s="1">
        <v>45596</v>
      </c>
      <c r="C8">
        <v>49.1</v>
      </c>
      <c r="D8">
        <v>68.5</v>
      </c>
      <c r="E8">
        <v>102.8</v>
      </c>
      <c r="F8">
        <v>28.55</v>
      </c>
      <c r="G8">
        <v>45.15</v>
      </c>
      <c r="H8">
        <v>12</v>
      </c>
      <c r="I8">
        <v>20</v>
      </c>
      <c r="J8" t="s">
        <v>5</v>
      </c>
      <c r="K8">
        <v>16.05</v>
      </c>
      <c r="L8">
        <v>126.4</v>
      </c>
      <c r="M8" s="5">
        <v>2138.15</v>
      </c>
    </row>
    <row r="9" spans="1:13" x14ac:dyDescent="0.3">
      <c r="A9" s="1">
        <v>45569</v>
      </c>
      <c r="B9" s="1">
        <v>45596</v>
      </c>
      <c r="C9">
        <v>33</v>
      </c>
      <c r="D9">
        <v>93.25</v>
      </c>
      <c r="E9">
        <v>102.8</v>
      </c>
      <c r="F9">
        <v>45</v>
      </c>
      <c r="G9">
        <v>51.05</v>
      </c>
      <c r="H9">
        <v>20.6</v>
      </c>
      <c r="I9">
        <v>20</v>
      </c>
      <c r="J9">
        <v>146.75</v>
      </c>
      <c r="K9">
        <v>11.05</v>
      </c>
      <c r="L9">
        <v>126.4</v>
      </c>
      <c r="M9" s="5">
        <v>2110.6</v>
      </c>
    </row>
    <row r="10" spans="1:13" x14ac:dyDescent="0.3">
      <c r="A10" s="1">
        <v>45572</v>
      </c>
      <c r="B10" s="1">
        <v>45596</v>
      </c>
      <c r="C10">
        <v>20.3</v>
      </c>
      <c r="D10">
        <v>93.25</v>
      </c>
      <c r="E10">
        <v>53.45</v>
      </c>
      <c r="F10">
        <v>58.9</v>
      </c>
      <c r="G10">
        <v>18.850000000000001</v>
      </c>
      <c r="H10">
        <v>24.9</v>
      </c>
      <c r="I10">
        <v>6.85</v>
      </c>
      <c r="J10">
        <v>146.75</v>
      </c>
      <c r="K10">
        <v>5.5</v>
      </c>
      <c r="L10">
        <v>126.4</v>
      </c>
      <c r="M10" s="5">
        <v>2060</v>
      </c>
    </row>
    <row r="11" spans="1:13" x14ac:dyDescent="0.3">
      <c r="A11" s="1">
        <v>45573</v>
      </c>
      <c r="B11" s="1">
        <v>45596</v>
      </c>
      <c r="C11">
        <v>33.9</v>
      </c>
      <c r="D11">
        <v>93.25</v>
      </c>
      <c r="E11">
        <v>81.5</v>
      </c>
      <c r="F11">
        <v>40.049999999999997</v>
      </c>
      <c r="G11">
        <v>28.55</v>
      </c>
      <c r="H11">
        <v>12.15</v>
      </c>
      <c r="I11">
        <v>6.85</v>
      </c>
      <c r="J11">
        <v>146.75</v>
      </c>
      <c r="K11">
        <v>9.9499999999999993</v>
      </c>
      <c r="L11">
        <v>126.4</v>
      </c>
      <c r="M11" s="5">
        <v>2125</v>
      </c>
    </row>
    <row r="12" spans="1:13" x14ac:dyDescent="0.3">
      <c r="A12" s="1">
        <v>45574</v>
      </c>
      <c r="B12" s="1">
        <v>45596</v>
      </c>
      <c r="C12">
        <v>24.5</v>
      </c>
      <c r="D12">
        <v>93.25</v>
      </c>
      <c r="E12">
        <v>69</v>
      </c>
      <c r="F12">
        <v>33.5</v>
      </c>
      <c r="G12">
        <v>34.049999999999997</v>
      </c>
      <c r="H12">
        <v>15.45</v>
      </c>
      <c r="I12">
        <v>8.35</v>
      </c>
      <c r="J12">
        <v>146.75</v>
      </c>
      <c r="K12">
        <v>7.2</v>
      </c>
      <c r="L12">
        <v>126.4</v>
      </c>
      <c r="M12" s="5">
        <v>2104</v>
      </c>
    </row>
    <row r="13" spans="1:13" x14ac:dyDescent="0.3">
      <c r="A13" s="1">
        <v>45575</v>
      </c>
      <c r="B13" s="1">
        <v>45596</v>
      </c>
      <c r="C13">
        <v>20</v>
      </c>
      <c r="D13">
        <v>93.3</v>
      </c>
      <c r="E13">
        <v>53.35</v>
      </c>
      <c r="F13">
        <v>46</v>
      </c>
      <c r="G13">
        <v>38.4</v>
      </c>
      <c r="H13">
        <v>17.5</v>
      </c>
      <c r="I13">
        <v>8.35</v>
      </c>
      <c r="J13">
        <v>146.75</v>
      </c>
      <c r="K13">
        <v>5.4</v>
      </c>
      <c r="L13">
        <v>126.4</v>
      </c>
      <c r="M13" s="5">
        <v>2085</v>
      </c>
    </row>
    <row r="14" spans="1:13" x14ac:dyDescent="0.3">
      <c r="A14" s="1">
        <v>45576</v>
      </c>
      <c r="B14" s="1">
        <v>45596</v>
      </c>
      <c r="C14">
        <v>20.149999999999999</v>
      </c>
      <c r="D14">
        <v>93.3</v>
      </c>
      <c r="E14">
        <v>53.8</v>
      </c>
      <c r="F14">
        <v>38.5</v>
      </c>
      <c r="G14">
        <v>62.4</v>
      </c>
      <c r="H14">
        <v>13.25</v>
      </c>
      <c r="I14">
        <v>5.3</v>
      </c>
      <c r="J14">
        <v>146.75</v>
      </c>
      <c r="K14">
        <v>3.8</v>
      </c>
      <c r="L14">
        <v>126.4</v>
      </c>
      <c r="M14" s="5">
        <v>2086.8000000000002</v>
      </c>
    </row>
    <row r="15" spans="1:13" x14ac:dyDescent="0.3">
      <c r="A15" s="1">
        <v>45579</v>
      </c>
      <c r="B15" s="1">
        <v>45596</v>
      </c>
      <c r="C15">
        <v>14.2</v>
      </c>
      <c r="D15">
        <v>108.5</v>
      </c>
      <c r="E15">
        <v>41</v>
      </c>
      <c r="F15">
        <v>47.8</v>
      </c>
      <c r="G15">
        <v>92.05</v>
      </c>
      <c r="H15">
        <v>15.5</v>
      </c>
      <c r="I15">
        <v>3.65</v>
      </c>
      <c r="J15">
        <v>146.75</v>
      </c>
      <c r="K15">
        <v>3</v>
      </c>
      <c r="L15">
        <v>126.4</v>
      </c>
      <c r="M15" s="5">
        <v>2096</v>
      </c>
    </row>
    <row r="16" spans="1:13" x14ac:dyDescent="0.3">
      <c r="A16" s="1">
        <v>45580</v>
      </c>
      <c r="B16" s="1">
        <v>45596</v>
      </c>
      <c r="C16">
        <v>15.85</v>
      </c>
      <c r="D16">
        <v>108.5</v>
      </c>
      <c r="E16">
        <v>48.55</v>
      </c>
      <c r="F16">
        <v>40.15</v>
      </c>
      <c r="G16">
        <v>98</v>
      </c>
      <c r="H16">
        <v>15.25</v>
      </c>
      <c r="I16">
        <v>4.05</v>
      </c>
      <c r="J16">
        <v>146.75</v>
      </c>
      <c r="K16">
        <v>4.55</v>
      </c>
      <c r="L16">
        <v>126.4</v>
      </c>
      <c r="M16" s="5">
        <v>2071.65</v>
      </c>
    </row>
    <row r="17" spans="1:13" x14ac:dyDescent="0.3">
      <c r="A17" s="1">
        <v>45581</v>
      </c>
      <c r="B17" s="1">
        <v>45596</v>
      </c>
      <c r="C17">
        <v>7.95</v>
      </c>
      <c r="D17">
        <v>108.5</v>
      </c>
      <c r="E17">
        <v>26.55</v>
      </c>
      <c r="F17">
        <v>68</v>
      </c>
      <c r="G17">
        <v>98</v>
      </c>
      <c r="H17">
        <v>29.25</v>
      </c>
      <c r="I17">
        <v>4.05</v>
      </c>
      <c r="J17">
        <v>146.75</v>
      </c>
      <c r="K17">
        <v>3.45</v>
      </c>
      <c r="L17">
        <v>126.4</v>
      </c>
      <c r="M17" s="5">
        <v>2031.65</v>
      </c>
    </row>
    <row r="18" spans="1:13" x14ac:dyDescent="0.3">
      <c r="A18" s="1">
        <v>45582</v>
      </c>
      <c r="B18" s="1">
        <v>45596</v>
      </c>
      <c r="C18">
        <v>5.55</v>
      </c>
      <c r="D18">
        <v>108.5</v>
      </c>
      <c r="E18">
        <v>15.3</v>
      </c>
      <c r="F18">
        <v>95</v>
      </c>
      <c r="G18">
        <v>98</v>
      </c>
      <c r="H18">
        <v>52.45</v>
      </c>
      <c r="I18">
        <v>4.05</v>
      </c>
      <c r="J18">
        <v>146.75</v>
      </c>
      <c r="K18">
        <v>2.2999999999999998</v>
      </c>
      <c r="L18">
        <v>126.4</v>
      </c>
      <c r="M18" s="5">
        <v>1979.9</v>
      </c>
    </row>
    <row r="19" spans="1:13" x14ac:dyDescent="0.3">
      <c r="A19" s="1">
        <v>45583</v>
      </c>
      <c r="B19" s="1">
        <v>45596</v>
      </c>
      <c r="C19">
        <v>4.4000000000000004</v>
      </c>
      <c r="D19">
        <v>108.5</v>
      </c>
      <c r="E19">
        <v>12.5</v>
      </c>
      <c r="F19">
        <v>109.85</v>
      </c>
      <c r="G19">
        <v>130.75</v>
      </c>
      <c r="H19">
        <v>47.95</v>
      </c>
      <c r="I19">
        <v>4.05</v>
      </c>
      <c r="J19">
        <v>146.75</v>
      </c>
      <c r="K19">
        <v>1.9</v>
      </c>
      <c r="L19">
        <v>126.4</v>
      </c>
      <c r="M19" s="5">
        <v>1975</v>
      </c>
    </row>
    <row r="20" spans="1:13" x14ac:dyDescent="0.3">
      <c r="A20" s="1">
        <v>45586</v>
      </c>
      <c r="B20" s="1">
        <v>45596</v>
      </c>
      <c r="C20">
        <v>4.3</v>
      </c>
      <c r="D20">
        <v>210</v>
      </c>
      <c r="E20">
        <v>9.9499999999999993</v>
      </c>
      <c r="F20">
        <v>109.85</v>
      </c>
      <c r="G20">
        <v>140</v>
      </c>
      <c r="H20">
        <v>61.85</v>
      </c>
      <c r="I20">
        <v>1.55</v>
      </c>
      <c r="J20">
        <v>146.75</v>
      </c>
      <c r="K20">
        <v>1.7</v>
      </c>
      <c r="L20">
        <v>126.4</v>
      </c>
      <c r="M20" s="5">
        <v>1961.45</v>
      </c>
    </row>
    <row r="21" spans="1:13" x14ac:dyDescent="0.3">
      <c r="A21" s="1">
        <v>45587</v>
      </c>
      <c r="B21" s="1">
        <v>45596</v>
      </c>
      <c r="C21">
        <v>3</v>
      </c>
      <c r="D21">
        <v>210</v>
      </c>
      <c r="E21">
        <v>7.05</v>
      </c>
      <c r="F21">
        <v>109.85</v>
      </c>
      <c r="G21">
        <v>98</v>
      </c>
      <c r="H21">
        <v>81.7</v>
      </c>
      <c r="I21">
        <v>1.55</v>
      </c>
      <c r="J21">
        <v>146.75</v>
      </c>
      <c r="K21">
        <v>1.4</v>
      </c>
      <c r="L21">
        <v>126.4</v>
      </c>
      <c r="M21" s="5">
        <v>1945</v>
      </c>
    </row>
    <row r="22" spans="1:13" x14ac:dyDescent="0.3">
      <c r="A22" s="1">
        <v>45588</v>
      </c>
      <c r="B22" s="1">
        <v>45596</v>
      </c>
      <c r="C22">
        <v>7.25</v>
      </c>
      <c r="D22">
        <v>210</v>
      </c>
      <c r="E22">
        <v>22.25</v>
      </c>
      <c r="F22">
        <v>91.3</v>
      </c>
      <c r="G22">
        <v>180</v>
      </c>
      <c r="H22">
        <v>54.95</v>
      </c>
      <c r="I22">
        <v>1.55</v>
      </c>
      <c r="J22">
        <v>146.75</v>
      </c>
      <c r="K22">
        <v>3.1</v>
      </c>
      <c r="L22">
        <v>126.4</v>
      </c>
      <c r="M22" s="5">
        <v>1993.95</v>
      </c>
    </row>
    <row r="23" spans="1:13" x14ac:dyDescent="0.3">
      <c r="A23" s="1">
        <v>45589</v>
      </c>
      <c r="B23" s="1">
        <v>45596</v>
      </c>
      <c r="C23">
        <v>6.3</v>
      </c>
      <c r="D23">
        <v>192.4</v>
      </c>
      <c r="E23">
        <v>18.5</v>
      </c>
      <c r="F23">
        <v>91.3</v>
      </c>
      <c r="G23">
        <v>180</v>
      </c>
      <c r="H23">
        <v>58.1</v>
      </c>
      <c r="I23">
        <v>1.55</v>
      </c>
      <c r="J23">
        <v>146.75</v>
      </c>
      <c r="K23">
        <v>2</v>
      </c>
      <c r="L23">
        <v>126.4</v>
      </c>
      <c r="M23" s="5">
        <v>1983.95</v>
      </c>
    </row>
    <row r="24" spans="1:13" x14ac:dyDescent="0.3">
      <c r="A24" s="1">
        <v>45590</v>
      </c>
      <c r="B24" s="1">
        <v>45596</v>
      </c>
      <c r="C24">
        <v>1.5</v>
      </c>
      <c r="D24">
        <v>192.4</v>
      </c>
      <c r="E24">
        <v>2.35</v>
      </c>
      <c r="F24">
        <v>104.3</v>
      </c>
      <c r="G24">
        <v>180</v>
      </c>
      <c r="H24">
        <v>37.799999999999997</v>
      </c>
      <c r="I24">
        <v>1.55</v>
      </c>
      <c r="J24">
        <v>146.75</v>
      </c>
      <c r="K24">
        <v>0.7</v>
      </c>
      <c r="L24">
        <v>126.4</v>
      </c>
      <c r="M24" s="5">
        <v>1971.95</v>
      </c>
    </row>
    <row r="25" spans="1:13" x14ac:dyDescent="0.3">
      <c r="A25" s="1">
        <v>45593</v>
      </c>
      <c r="B25" s="1">
        <v>45596</v>
      </c>
      <c r="C25">
        <v>0.7</v>
      </c>
      <c r="D25">
        <v>192.4</v>
      </c>
      <c r="E25">
        <v>1.2</v>
      </c>
      <c r="F25">
        <v>154.44999999999999</v>
      </c>
      <c r="G25">
        <v>207.15</v>
      </c>
      <c r="H25">
        <v>74.5</v>
      </c>
      <c r="I25">
        <v>1.55</v>
      </c>
      <c r="J25">
        <v>146.75</v>
      </c>
      <c r="K25">
        <v>0.6</v>
      </c>
      <c r="L25">
        <v>126.4</v>
      </c>
      <c r="M25" s="5">
        <v>1944.9</v>
      </c>
    </row>
    <row r="26" spans="1:13" x14ac:dyDescent="0.3">
      <c r="A26" s="1">
        <v>45594</v>
      </c>
      <c r="B26" s="1">
        <v>45596</v>
      </c>
      <c r="C26">
        <v>0.7</v>
      </c>
      <c r="D26">
        <v>192.4</v>
      </c>
      <c r="E26">
        <v>0.45</v>
      </c>
      <c r="F26">
        <v>154.44999999999999</v>
      </c>
      <c r="G26">
        <v>232</v>
      </c>
      <c r="H26">
        <v>68.7</v>
      </c>
      <c r="I26">
        <v>1.55</v>
      </c>
      <c r="J26">
        <v>146.75</v>
      </c>
      <c r="K26">
        <v>0.3</v>
      </c>
      <c r="L26">
        <v>126.4</v>
      </c>
      <c r="M26" s="5">
        <v>1930</v>
      </c>
    </row>
    <row r="27" spans="1:13" x14ac:dyDescent="0.3">
      <c r="A27" s="1">
        <v>45595</v>
      </c>
      <c r="B27" s="1">
        <v>45596</v>
      </c>
      <c r="C27">
        <v>0.1</v>
      </c>
      <c r="D27">
        <v>192.4</v>
      </c>
      <c r="E27">
        <v>0.1</v>
      </c>
      <c r="F27">
        <v>154.44999999999999</v>
      </c>
      <c r="G27">
        <v>188</v>
      </c>
      <c r="H27">
        <v>66.25</v>
      </c>
      <c r="I27">
        <v>1.55</v>
      </c>
      <c r="J27">
        <v>146.75</v>
      </c>
      <c r="K27">
        <v>0.1</v>
      </c>
      <c r="L27">
        <v>126.4</v>
      </c>
      <c r="M27" s="5">
        <v>1927.95</v>
      </c>
    </row>
    <row r="28" spans="1:13" x14ac:dyDescent="0.3">
      <c r="A28" s="1">
        <v>45596</v>
      </c>
      <c r="B28" s="1">
        <v>45596</v>
      </c>
      <c r="C28">
        <v>0.05</v>
      </c>
      <c r="D28">
        <v>261.89999999999998</v>
      </c>
      <c r="E28">
        <v>0.05</v>
      </c>
      <c r="F28">
        <v>155</v>
      </c>
      <c r="G28">
        <v>188</v>
      </c>
      <c r="H28">
        <v>79.150000000000006</v>
      </c>
      <c r="I28">
        <v>1.55</v>
      </c>
      <c r="J28">
        <v>146.75</v>
      </c>
      <c r="K28">
        <v>0.05</v>
      </c>
      <c r="L28">
        <v>126.4</v>
      </c>
      <c r="M28" s="5">
        <v>1920.05</v>
      </c>
    </row>
    <row r="30" spans="1:13" x14ac:dyDescent="0.3">
      <c r="A30" s="21" t="s">
        <v>6</v>
      </c>
    </row>
    <row r="31" spans="1:13" x14ac:dyDescent="0.3">
      <c r="A31" s="20" t="s">
        <v>7</v>
      </c>
    </row>
    <row r="32" spans="1:13" x14ac:dyDescent="0.3">
      <c r="A32" s="20" t="s">
        <v>8</v>
      </c>
    </row>
  </sheetData>
  <mergeCells count="5">
    <mergeCell ref="C1:D1"/>
    <mergeCell ref="E1:F1"/>
    <mergeCell ref="G1:H1"/>
    <mergeCell ref="I1:J1"/>
    <mergeCell ref="K1:L1"/>
  </mergeCells>
  <hyperlinks>
    <hyperlink ref="A31" r:id="rId1" xr:uid="{CD54A2E4-6CB7-4FCC-A1FF-15937FFAEA11}"/>
    <hyperlink ref="A32" r:id="rId2" xr:uid="{AB269D42-1815-4D80-A7B7-0058CBC5B7AC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6A19-1DA9-484B-9C17-E0BFFC786BA0}">
  <sheetPr codeName="Sheet6"/>
  <dimension ref="A1:H33"/>
  <sheetViews>
    <sheetView zoomScale="80" workbookViewId="0">
      <selection activeCell="E35" sqref="E35"/>
    </sheetView>
  </sheetViews>
  <sheetFormatPr defaultColWidth="8.88671875" defaultRowHeight="13.8" x14ac:dyDescent="0.25"/>
  <cols>
    <col min="1" max="1" width="23.109375" style="8" customWidth="1"/>
    <col min="2" max="2" width="8.88671875" style="8" bestFit="1" customWidth="1"/>
    <col min="3" max="3" width="8.88671875" style="8"/>
    <col min="4" max="4" width="14.109375" style="8" bestFit="1" customWidth="1"/>
    <col min="5" max="5" width="15.44140625" style="8" bestFit="1" customWidth="1"/>
    <col min="6" max="6" width="10.44140625" style="8" bestFit="1" customWidth="1"/>
    <col min="7" max="7" width="8.88671875" style="8" bestFit="1" customWidth="1"/>
    <col min="8" max="8" width="9.88671875" style="8" bestFit="1" customWidth="1"/>
    <col min="9" max="16384" width="8.88671875" style="8"/>
  </cols>
  <sheetData>
    <row r="1" spans="1:8" ht="18" x14ac:dyDescent="0.35">
      <c r="A1" s="7" t="s">
        <v>9</v>
      </c>
    </row>
    <row r="3" spans="1:8" x14ac:dyDescent="0.25">
      <c r="A3" s="9" t="s">
        <v>10</v>
      </c>
      <c r="B3" s="10">
        <v>2134</v>
      </c>
    </row>
    <row r="4" spans="1:8" x14ac:dyDescent="0.25">
      <c r="A4" s="9" t="s">
        <v>11</v>
      </c>
      <c r="B4" s="11">
        <v>2180</v>
      </c>
    </row>
    <row r="5" spans="1:8" x14ac:dyDescent="0.25">
      <c r="A5" s="9" t="s">
        <v>12</v>
      </c>
      <c r="B5" s="11">
        <v>54.75</v>
      </c>
    </row>
    <row r="6" spans="1:8" x14ac:dyDescent="0.25">
      <c r="A6" s="9" t="s">
        <v>13</v>
      </c>
      <c r="B6" s="11" t="s">
        <v>14</v>
      </c>
    </row>
    <row r="7" spans="1:8" x14ac:dyDescent="0.25">
      <c r="A7" s="9" t="s">
        <v>15</v>
      </c>
      <c r="B7" s="11">
        <f>B8*B9</f>
        <v>800</v>
      </c>
      <c r="D7" s="19" t="s">
        <v>16</v>
      </c>
      <c r="E7" s="19" t="s">
        <v>17</v>
      </c>
      <c r="F7" s="19" t="s">
        <v>18</v>
      </c>
      <c r="G7" s="19" t="s">
        <v>19</v>
      </c>
      <c r="H7" s="19" t="s">
        <v>20</v>
      </c>
    </row>
    <row r="8" spans="1:8" ht="14.4" x14ac:dyDescent="0.3">
      <c r="A8" s="9" t="s">
        <v>21</v>
      </c>
      <c r="B8" s="11">
        <v>2</v>
      </c>
      <c r="D8" s="12">
        <v>45560</v>
      </c>
      <c r="E8" s="6">
        <v>2134</v>
      </c>
      <c r="F8" s="10">
        <f>E8-$B$3</f>
        <v>0</v>
      </c>
      <c r="G8" s="11">
        <f t="shared" ref="G8:G33" si="0">IF(E8&gt;$B$4,($B$4-E8)+$B$5,$B$5)</f>
        <v>54.75</v>
      </c>
      <c r="H8" s="11">
        <f>(F8+G8)*$B$7</f>
        <v>43800</v>
      </c>
    </row>
    <row r="9" spans="1:8" ht="14.4" x14ac:dyDescent="0.3">
      <c r="A9" s="9" t="s">
        <v>22</v>
      </c>
      <c r="B9" s="11">
        <v>400</v>
      </c>
      <c r="D9" s="12">
        <v>45561</v>
      </c>
      <c r="E9" s="6">
        <v>2161</v>
      </c>
      <c r="F9" s="10">
        <f>E9-$B$3</f>
        <v>27</v>
      </c>
      <c r="G9" s="11">
        <f t="shared" si="0"/>
        <v>54.75</v>
      </c>
      <c r="H9" s="11">
        <f t="shared" ref="H9:H33" si="1">(F9+G9)*$B$7</f>
        <v>65400</v>
      </c>
    </row>
    <row r="10" spans="1:8" ht="14.4" x14ac:dyDescent="0.3">
      <c r="D10" s="12">
        <v>45562</v>
      </c>
      <c r="E10" s="6">
        <v>2174.3000000000002</v>
      </c>
      <c r="F10" s="11">
        <f t="shared" ref="F10:F33" si="2">E10-$B$3</f>
        <v>40.300000000000182</v>
      </c>
      <c r="G10" s="11">
        <f t="shared" si="0"/>
        <v>54.75</v>
      </c>
      <c r="H10" s="11">
        <f t="shared" si="1"/>
        <v>76040.000000000146</v>
      </c>
    </row>
    <row r="11" spans="1:8" ht="14.4" x14ac:dyDescent="0.3">
      <c r="D11" s="12">
        <v>45565</v>
      </c>
      <c r="E11" s="6">
        <v>2170</v>
      </c>
      <c r="F11" s="11">
        <f t="shared" si="2"/>
        <v>36</v>
      </c>
      <c r="G11" s="11">
        <f t="shared" si="0"/>
        <v>54.75</v>
      </c>
      <c r="H11" s="11">
        <f t="shared" si="1"/>
        <v>72600</v>
      </c>
    </row>
    <row r="12" spans="1:8" ht="14.4" x14ac:dyDescent="0.3">
      <c r="D12" s="12">
        <v>45566</v>
      </c>
      <c r="E12" s="6">
        <v>2165</v>
      </c>
      <c r="F12" s="11">
        <f t="shared" si="2"/>
        <v>31</v>
      </c>
      <c r="G12" s="11">
        <f t="shared" si="0"/>
        <v>54.75</v>
      </c>
      <c r="H12" s="11">
        <f t="shared" si="1"/>
        <v>68600</v>
      </c>
    </row>
    <row r="13" spans="1:8" ht="14.4" x14ac:dyDescent="0.3">
      <c r="D13" s="12">
        <v>45568</v>
      </c>
      <c r="E13" s="6">
        <v>2138.15</v>
      </c>
      <c r="F13" s="11">
        <f t="shared" si="2"/>
        <v>4.1500000000000909</v>
      </c>
      <c r="G13" s="11">
        <f t="shared" si="0"/>
        <v>54.75</v>
      </c>
      <c r="H13" s="11">
        <f t="shared" si="1"/>
        <v>47120.000000000073</v>
      </c>
    </row>
    <row r="14" spans="1:8" ht="14.4" x14ac:dyDescent="0.3">
      <c r="D14" s="12">
        <v>45569</v>
      </c>
      <c r="E14" s="6">
        <v>2110.6</v>
      </c>
      <c r="F14" s="11">
        <f t="shared" si="2"/>
        <v>-23.400000000000091</v>
      </c>
      <c r="G14" s="11">
        <f t="shared" si="0"/>
        <v>54.75</v>
      </c>
      <c r="H14" s="11">
        <f t="shared" si="1"/>
        <v>25079.999999999927</v>
      </c>
    </row>
    <row r="15" spans="1:8" ht="14.4" x14ac:dyDescent="0.3">
      <c r="D15" s="12">
        <v>45572</v>
      </c>
      <c r="E15" s="6">
        <v>2060</v>
      </c>
      <c r="F15" s="11">
        <f t="shared" si="2"/>
        <v>-74</v>
      </c>
      <c r="G15" s="11">
        <f t="shared" si="0"/>
        <v>54.75</v>
      </c>
      <c r="H15" s="11">
        <f t="shared" si="1"/>
        <v>-15400</v>
      </c>
    </row>
    <row r="16" spans="1:8" ht="14.4" x14ac:dyDescent="0.3">
      <c r="D16" s="12">
        <v>45573</v>
      </c>
      <c r="E16" s="6">
        <v>2125</v>
      </c>
      <c r="F16" s="11">
        <f t="shared" si="2"/>
        <v>-9</v>
      </c>
      <c r="G16" s="11">
        <f t="shared" si="0"/>
        <v>54.75</v>
      </c>
      <c r="H16" s="11">
        <f t="shared" si="1"/>
        <v>36600</v>
      </c>
    </row>
    <row r="17" spans="4:8" ht="14.4" x14ac:dyDescent="0.3">
      <c r="D17" s="12">
        <v>45574</v>
      </c>
      <c r="E17" s="6">
        <v>2104</v>
      </c>
      <c r="F17" s="11">
        <f t="shared" si="2"/>
        <v>-30</v>
      </c>
      <c r="G17" s="11">
        <f t="shared" si="0"/>
        <v>54.75</v>
      </c>
      <c r="H17" s="11">
        <f>(F17+G17)*$B$7</f>
        <v>19800</v>
      </c>
    </row>
    <row r="18" spans="4:8" ht="14.4" x14ac:dyDescent="0.3">
      <c r="D18" s="12">
        <v>45575</v>
      </c>
      <c r="E18" s="6">
        <v>2085</v>
      </c>
      <c r="F18" s="11">
        <f t="shared" si="2"/>
        <v>-49</v>
      </c>
      <c r="G18" s="11">
        <f t="shared" si="0"/>
        <v>54.75</v>
      </c>
      <c r="H18" s="11">
        <f t="shared" si="1"/>
        <v>4600</v>
      </c>
    </row>
    <row r="19" spans="4:8" ht="14.4" x14ac:dyDescent="0.3">
      <c r="D19" s="12">
        <v>45576</v>
      </c>
      <c r="E19" s="6">
        <v>2086.8000000000002</v>
      </c>
      <c r="F19" s="11">
        <f t="shared" si="2"/>
        <v>-47.199999999999818</v>
      </c>
      <c r="G19" s="11">
        <f t="shared" si="0"/>
        <v>54.75</v>
      </c>
      <c r="H19" s="11">
        <f t="shared" si="1"/>
        <v>6040.0000000001455</v>
      </c>
    </row>
    <row r="20" spans="4:8" ht="14.4" x14ac:dyDescent="0.3">
      <c r="D20" s="12">
        <v>45579</v>
      </c>
      <c r="E20" s="6">
        <v>2096</v>
      </c>
      <c r="F20" s="11">
        <f t="shared" si="2"/>
        <v>-38</v>
      </c>
      <c r="G20" s="11">
        <f t="shared" si="0"/>
        <v>54.75</v>
      </c>
      <c r="H20" s="11">
        <f t="shared" si="1"/>
        <v>13400</v>
      </c>
    </row>
    <row r="21" spans="4:8" ht="14.4" x14ac:dyDescent="0.3">
      <c r="D21" s="12">
        <v>45580</v>
      </c>
      <c r="E21" s="6">
        <v>2071.65</v>
      </c>
      <c r="F21" s="11">
        <f t="shared" si="2"/>
        <v>-62.349999999999909</v>
      </c>
      <c r="G21" s="11">
        <f t="shared" si="0"/>
        <v>54.75</v>
      </c>
      <c r="H21" s="11">
        <f t="shared" si="1"/>
        <v>-6079.9999999999272</v>
      </c>
    </row>
    <row r="22" spans="4:8" ht="14.4" x14ac:dyDescent="0.3">
      <c r="D22" s="12">
        <v>45581</v>
      </c>
      <c r="E22" s="6">
        <v>2031.65</v>
      </c>
      <c r="F22" s="11">
        <f t="shared" si="2"/>
        <v>-102.34999999999991</v>
      </c>
      <c r="G22" s="11">
        <f t="shared" si="0"/>
        <v>54.75</v>
      </c>
      <c r="H22" s="11">
        <f t="shared" si="1"/>
        <v>-38079.999999999927</v>
      </c>
    </row>
    <row r="23" spans="4:8" ht="14.4" x14ac:dyDescent="0.3">
      <c r="D23" s="12">
        <v>45582</v>
      </c>
      <c r="E23" s="6">
        <v>1979.9</v>
      </c>
      <c r="F23" s="11">
        <f t="shared" si="2"/>
        <v>-154.09999999999991</v>
      </c>
      <c r="G23" s="11">
        <f t="shared" si="0"/>
        <v>54.75</v>
      </c>
      <c r="H23" s="11">
        <f t="shared" si="1"/>
        <v>-79479.999999999927</v>
      </c>
    </row>
    <row r="24" spans="4:8" ht="14.4" x14ac:dyDescent="0.3">
      <c r="D24" s="12">
        <v>45583</v>
      </c>
      <c r="E24" s="6">
        <v>1975</v>
      </c>
      <c r="F24" s="11">
        <f t="shared" si="2"/>
        <v>-159</v>
      </c>
      <c r="G24" s="11">
        <f t="shared" si="0"/>
        <v>54.75</v>
      </c>
      <c r="H24" s="11">
        <f t="shared" si="1"/>
        <v>-83400</v>
      </c>
    </row>
    <row r="25" spans="4:8" ht="14.4" x14ac:dyDescent="0.3">
      <c r="D25" s="12">
        <v>45586</v>
      </c>
      <c r="E25" s="6">
        <v>1961.45</v>
      </c>
      <c r="F25" s="11">
        <f t="shared" si="2"/>
        <v>-172.54999999999995</v>
      </c>
      <c r="G25" s="11">
        <f t="shared" si="0"/>
        <v>54.75</v>
      </c>
      <c r="H25" s="11">
        <f t="shared" si="1"/>
        <v>-94239.999999999971</v>
      </c>
    </row>
    <row r="26" spans="4:8" ht="14.4" x14ac:dyDescent="0.3">
      <c r="D26" s="12">
        <v>45587</v>
      </c>
      <c r="E26" s="6">
        <v>1945</v>
      </c>
      <c r="F26" s="11">
        <f t="shared" si="2"/>
        <v>-189</v>
      </c>
      <c r="G26" s="11">
        <f t="shared" si="0"/>
        <v>54.75</v>
      </c>
      <c r="H26" s="11">
        <f t="shared" si="1"/>
        <v>-107400</v>
      </c>
    </row>
    <row r="27" spans="4:8" ht="14.4" x14ac:dyDescent="0.3">
      <c r="D27" s="12">
        <v>45588</v>
      </c>
      <c r="E27" s="6">
        <v>1993.95</v>
      </c>
      <c r="F27" s="11">
        <f t="shared" si="2"/>
        <v>-140.04999999999995</v>
      </c>
      <c r="G27" s="11">
        <f t="shared" si="0"/>
        <v>54.75</v>
      </c>
      <c r="H27" s="11">
        <f t="shared" si="1"/>
        <v>-68239.999999999971</v>
      </c>
    </row>
    <row r="28" spans="4:8" ht="14.4" x14ac:dyDescent="0.3">
      <c r="D28" s="12">
        <v>45589</v>
      </c>
      <c r="E28" s="6">
        <v>1983.95</v>
      </c>
      <c r="F28" s="11">
        <f t="shared" si="2"/>
        <v>-150.04999999999995</v>
      </c>
      <c r="G28" s="11">
        <f t="shared" si="0"/>
        <v>54.75</v>
      </c>
      <c r="H28" s="11">
        <f t="shared" si="1"/>
        <v>-76239.999999999971</v>
      </c>
    </row>
    <row r="29" spans="4:8" ht="14.4" x14ac:dyDescent="0.3">
      <c r="D29" s="12">
        <v>45590</v>
      </c>
      <c r="E29" s="6">
        <v>1971.95</v>
      </c>
      <c r="F29" s="11">
        <f t="shared" si="2"/>
        <v>-162.04999999999995</v>
      </c>
      <c r="G29" s="11">
        <f t="shared" si="0"/>
        <v>54.75</v>
      </c>
      <c r="H29" s="11">
        <f t="shared" si="1"/>
        <v>-85839.999999999971</v>
      </c>
    </row>
    <row r="30" spans="4:8" ht="14.4" x14ac:dyDescent="0.3">
      <c r="D30" s="12">
        <v>45593</v>
      </c>
      <c r="E30" s="6">
        <v>1944.9</v>
      </c>
      <c r="F30" s="11">
        <f t="shared" si="2"/>
        <v>-189.09999999999991</v>
      </c>
      <c r="G30" s="11">
        <f t="shared" si="0"/>
        <v>54.75</v>
      </c>
      <c r="H30" s="11">
        <f t="shared" si="1"/>
        <v>-107479.99999999993</v>
      </c>
    </row>
    <row r="31" spans="4:8" ht="14.4" x14ac:dyDescent="0.3">
      <c r="D31" s="12">
        <v>45594</v>
      </c>
      <c r="E31" s="6">
        <v>1930</v>
      </c>
      <c r="F31" s="11">
        <f t="shared" si="2"/>
        <v>-204</v>
      </c>
      <c r="G31" s="11">
        <f t="shared" si="0"/>
        <v>54.75</v>
      </c>
      <c r="H31" s="11">
        <f t="shared" si="1"/>
        <v>-119400</v>
      </c>
    </row>
    <row r="32" spans="4:8" ht="14.4" x14ac:dyDescent="0.3">
      <c r="D32" s="12">
        <v>45595</v>
      </c>
      <c r="E32" s="6">
        <v>1927.95</v>
      </c>
      <c r="F32" s="11">
        <f t="shared" si="2"/>
        <v>-206.04999999999995</v>
      </c>
      <c r="G32" s="11">
        <f t="shared" si="0"/>
        <v>54.75</v>
      </c>
      <c r="H32" s="11">
        <f t="shared" si="1"/>
        <v>-121039.99999999997</v>
      </c>
    </row>
    <row r="33" spans="4:8" ht="14.4" x14ac:dyDescent="0.3">
      <c r="D33" s="12">
        <v>45596</v>
      </c>
      <c r="E33" s="6">
        <v>1920.05</v>
      </c>
      <c r="F33" s="11">
        <f t="shared" si="2"/>
        <v>-213.95000000000005</v>
      </c>
      <c r="G33" s="11">
        <f t="shared" si="0"/>
        <v>54.75</v>
      </c>
      <c r="H33" s="11">
        <f t="shared" si="1"/>
        <v>-127360.00000000003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FC3B-EB9E-4BB3-B1B3-1B194C27B001}">
  <sheetPr codeName="Sheet7"/>
  <dimension ref="A1:I33"/>
  <sheetViews>
    <sheetView workbookViewId="0">
      <selection activeCell="C17" sqref="C17"/>
    </sheetView>
  </sheetViews>
  <sheetFormatPr defaultColWidth="8.88671875" defaultRowHeight="13.8" x14ac:dyDescent="0.25"/>
  <cols>
    <col min="1" max="1" width="25.44140625" style="8" customWidth="1"/>
    <col min="2" max="3" width="8.88671875" style="8"/>
    <col min="4" max="4" width="21.5546875" style="8" customWidth="1"/>
    <col min="5" max="5" width="15.109375" style="8" bestFit="1" customWidth="1"/>
    <col min="6" max="16384" width="8.88671875" style="8"/>
  </cols>
  <sheetData>
    <row r="1" spans="1:9" ht="18" x14ac:dyDescent="0.35">
      <c r="A1" s="7" t="s">
        <v>23</v>
      </c>
    </row>
    <row r="3" spans="1:9" x14ac:dyDescent="0.25">
      <c r="A3" s="9" t="s">
        <v>10</v>
      </c>
      <c r="B3" s="10">
        <v>2134</v>
      </c>
    </row>
    <row r="4" spans="1:9" x14ac:dyDescent="0.25">
      <c r="A4" s="9" t="s">
        <v>24</v>
      </c>
      <c r="B4" s="11">
        <v>2080</v>
      </c>
    </row>
    <row r="5" spans="1:9" ht="14.4" x14ac:dyDescent="0.3">
      <c r="A5" s="9" t="s">
        <v>25</v>
      </c>
      <c r="B5" s="13">
        <v>90</v>
      </c>
    </row>
    <row r="6" spans="1:9" x14ac:dyDescent="0.25">
      <c r="A6" s="9" t="s">
        <v>13</v>
      </c>
      <c r="B6" s="11" t="s">
        <v>26</v>
      </c>
    </row>
    <row r="7" spans="1:9" x14ac:dyDescent="0.25">
      <c r="A7" s="9" t="s">
        <v>15</v>
      </c>
      <c r="B7" s="11">
        <f>B8*B9</f>
        <v>800</v>
      </c>
      <c r="D7" s="19" t="s">
        <v>16</v>
      </c>
      <c r="E7" s="19" t="s">
        <v>27</v>
      </c>
      <c r="F7" s="19" t="s">
        <v>18</v>
      </c>
      <c r="G7" s="19" t="s">
        <v>28</v>
      </c>
      <c r="H7" s="19" t="s">
        <v>20</v>
      </c>
      <c r="I7" s="14"/>
    </row>
    <row r="8" spans="1:9" ht="14.4" x14ac:dyDescent="0.3">
      <c r="A8" s="9" t="s">
        <v>21</v>
      </c>
      <c r="B8" s="11">
        <v>2</v>
      </c>
      <c r="D8" s="12">
        <v>45560</v>
      </c>
      <c r="E8" s="6">
        <v>2134</v>
      </c>
      <c r="F8" s="15">
        <f>E8-$B$3</f>
        <v>0</v>
      </c>
      <c r="G8" s="11">
        <f>IF(E8&gt;$B$4,-$B$5,($B$4-E8)-$B$5)</f>
        <v>-90</v>
      </c>
      <c r="H8" s="11">
        <f>(SUM(F8:G8))*$B$7</f>
        <v>-72000</v>
      </c>
    </row>
    <row r="9" spans="1:9" ht="14.4" x14ac:dyDescent="0.3">
      <c r="A9" s="9" t="s">
        <v>22</v>
      </c>
      <c r="B9" s="11">
        <v>400</v>
      </c>
      <c r="D9" s="12">
        <v>45561</v>
      </c>
      <c r="E9" s="6">
        <v>2161</v>
      </c>
      <c r="F9" s="15">
        <f>E9-$B$3</f>
        <v>27</v>
      </c>
      <c r="G9" s="11">
        <f t="shared" ref="G9:G33" si="0">IF(E9&gt;$B$4,-$B$5,($B$4-E9)-$B$5)</f>
        <v>-90</v>
      </c>
      <c r="H9" s="11">
        <f t="shared" ref="H9:H33" si="1">(SUM(F9:G9))*$B$7</f>
        <v>-50400</v>
      </c>
      <c r="I9" s="14"/>
    </row>
    <row r="10" spans="1:9" ht="14.4" x14ac:dyDescent="0.3">
      <c r="D10" s="12">
        <v>45562</v>
      </c>
      <c r="E10" s="6">
        <v>2174.3000000000002</v>
      </c>
      <c r="F10" s="16">
        <f t="shared" ref="F10:F33" si="2">E10-$B$3</f>
        <v>40.300000000000182</v>
      </c>
      <c r="G10" s="11">
        <f t="shared" si="0"/>
        <v>-90</v>
      </c>
      <c r="H10" s="11">
        <f t="shared" si="1"/>
        <v>-39759.999999999854</v>
      </c>
      <c r="I10" s="14"/>
    </row>
    <row r="11" spans="1:9" ht="14.4" x14ac:dyDescent="0.3">
      <c r="D11" s="12">
        <v>45565</v>
      </c>
      <c r="E11" s="6">
        <v>2170</v>
      </c>
      <c r="F11" s="16">
        <f t="shared" si="2"/>
        <v>36</v>
      </c>
      <c r="G11" s="11">
        <f t="shared" si="0"/>
        <v>-90</v>
      </c>
      <c r="H11" s="11">
        <f t="shared" si="1"/>
        <v>-43200</v>
      </c>
      <c r="I11" s="14"/>
    </row>
    <row r="12" spans="1:9" ht="14.4" x14ac:dyDescent="0.3">
      <c r="D12" s="12">
        <v>45566</v>
      </c>
      <c r="E12" s="6">
        <v>2165</v>
      </c>
      <c r="F12" s="16">
        <f t="shared" si="2"/>
        <v>31</v>
      </c>
      <c r="G12" s="11">
        <f t="shared" si="0"/>
        <v>-90</v>
      </c>
      <c r="H12" s="11">
        <f t="shared" si="1"/>
        <v>-47200</v>
      </c>
      <c r="I12" s="14"/>
    </row>
    <row r="13" spans="1:9" ht="14.4" x14ac:dyDescent="0.3">
      <c r="D13" s="12">
        <v>45568</v>
      </c>
      <c r="E13" s="6">
        <v>2138.15</v>
      </c>
      <c r="F13" s="16">
        <f t="shared" si="2"/>
        <v>4.1500000000000909</v>
      </c>
      <c r="G13" s="11">
        <f t="shared" si="0"/>
        <v>-90</v>
      </c>
      <c r="H13" s="11">
        <f t="shared" si="1"/>
        <v>-68679.999999999927</v>
      </c>
      <c r="I13" s="14"/>
    </row>
    <row r="14" spans="1:9" ht="14.4" x14ac:dyDescent="0.3">
      <c r="D14" s="12">
        <v>45569</v>
      </c>
      <c r="E14" s="6">
        <v>2110.6</v>
      </c>
      <c r="F14" s="16">
        <f t="shared" si="2"/>
        <v>-23.400000000000091</v>
      </c>
      <c r="G14" s="11">
        <f t="shared" si="0"/>
        <v>-90</v>
      </c>
      <c r="H14" s="11">
        <f t="shared" si="1"/>
        <v>-90720.000000000073</v>
      </c>
      <c r="I14" s="14"/>
    </row>
    <row r="15" spans="1:9" ht="14.4" x14ac:dyDescent="0.3">
      <c r="D15" s="12">
        <v>45572</v>
      </c>
      <c r="E15" s="6">
        <v>2060</v>
      </c>
      <c r="F15" s="16">
        <f t="shared" si="2"/>
        <v>-74</v>
      </c>
      <c r="G15" s="11">
        <f t="shared" si="0"/>
        <v>-70</v>
      </c>
      <c r="H15" s="11">
        <f t="shared" si="1"/>
        <v>-115200</v>
      </c>
      <c r="I15" s="14"/>
    </row>
    <row r="16" spans="1:9" ht="14.4" x14ac:dyDescent="0.3">
      <c r="D16" s="12">
        <v>45573</v>
      </c>
      <c r="E16" s="6">
        <v>2125</v>
      </c>
      <c r="F16" s="16">
        <f t="shared" si="2"/>
        <v>-9</v>
      </c>
      <c r="G16" s="11">
        <f t="shared" si="0"/>
        <v>-90</v>
      </c>
      <c r="H16" s="11">
        <f t="shared" si="1"/>
        <v>-79200</v>
      </c>
      <c r="I16" s="14"/>
    </row>
    <row r="17" spans="4:9" ht="14.4" x14ac:dyDescent="0.3">
      <c r="D17" s="12">
        <v>45574</v>
      </c>
      <c r="E17" s="6">
        <v>2104</v>
      </c>
      <c r="F17" s="16">
        <f t="shared" si="2"/>
        <v>-30</v>
      </c>
      <c r="G17" s="11">
        <f t="shared" si="0"/>
        <v>-90</v>
      </c>
      <c r="H17" s="11">
        <f t="shared" si="1"/>
        <v>-96000</v>
      </c>
      <c r="I17" s="14"/>
    </row>
    <row r="18" spans="4:9" ht="14.4" x14ac:dyDescent="0.3">
      <c r="D18" s="12">
        <v>45575</v>
      </c>
      <c r="E18" s="6">
        <v>2085</v>
      </c>
      <c r="F18" s="16">
        <f t="shared" si="2"/>
        <v>-49</v>
      </c>
      <c r="G18" s="11">
        <f t="shared" si="0"/>
        <v>-90</v>
      </c>
      <c r="H18" s="11">
        <f t="shared" si="1"/>
        <v>-111200</v>
      </c>
      <c r="I18" s="14"/>
    </row>
    <row r="19" spans="4:9" ht="14.4" x14ac:dyDescent="0.3">
      <c r="D19" s="12">
        <v>45576</v>
      </c>
      <c r="E19" s="6">
        <v>2086.8000000000002</v>
      </c>
      <c r="F19" s="16">
        <f t="shared" si="2"/>
        <v>-47.199999999999818</v>
      </c>
      <c r="G19" s="11">
        <f t="shared" si="0"/>
        <v>-90</v>
      </c>
      <c r="H19" s="11">
        <f t="shared" si="1"/>
        <v>-109759.99999999985</v>
      </c>
      <c r="I19" s="14"/>
    </row>
    <row r="20" spans="4:9" ht="14.4" x14ac:dyDescent="0.3">
      <c r="D20" s="12">
        <v>45579</v>
      </c>
      <c r="E20" s="6">
        <v>2096</v>
      </c>
      <c r="F20" s="16">
        <f t="shared" si="2"/>
        <v>-38</v>
      </c>
      <c r="G20" s="11">
        <f t="shared" si="0"/>
        <v>-90</v>
      </c>
      <c r="H20" s="11">
        <f t="shared" si="1"/>
        <v>-102400</v>
      </c>
      <c r="I20" s="14"/>
    </row>
    <row r="21" spans="4:9" ht="14.4" x14ac:dyDescent="0.3">
      <c r="D21" s="12">
        <v>45580</v>
      </c>
      <c r="E21" s="6">
        <v>2071.65</v>
      </c>
      <c r="F21" s="16">
        <f t="shared" si="2"/>
        <v>-62.349999999999909</v>
      </c>
      <c r="G21" s="11">
        <f t="shared" si="0"/>
        <v>-81.650000000000091</v>
      </c>
      <c r="H21" s="11">
        <f t="shared" si="1"/>
        <v>-115200</v>
      </c>
      <c r="I21" s="14"/>
    </row>
    <row r="22" spans="4:9" ht="14.4" x14ac:dyDescent="0.3">
      <c r="D22" s="12">
        <v>45581</v>
      </c>
      <c r="E22" s="6">
        <v>2031.65</v>
      </c>
      <c r="F22" s="16">
        <f t="shared" si="2"/>
        <v>-102.34999999999991</v>
      </c>
      <c r="G22" s="11">
        <f t="shared" si="0"/>
        <v>-41.650000000000091</v>
      </c>
      <c r="H22" s="11">
        <f t="shared" si="1"/>
        <v>-115200</v>
      </c>
      <c r="I22" s="14"/>
    </row>
    <row r="23" spans="4:9" ht="14.4" x14ac:dyDescent="0.3">
      <c r="D23" s="12">
        <v>45582</v>
      </c>
      <c r="E23" s="6">
        <v>1979.9</v>
      </c>
      <c r="F23" s="16">
        <f t="shared" si="2"/>
        <v>-154.09999999999991</v>
      </c>
      <c r="G23" s="11">
        <f t="shared" si="0"/>
        <v>10.099999999999909</v>
      </c>
      <c r="H23" s="11">
        <f t="shared" si="1"/>
        <v>-115200</v>
      </c>
      <c r="I23" s="14"/>
    </row>
    <row r="24" spans="4:9" ht="14.4" x14ac:dyDescent="0.3">
      <c r="D24" s="12">
        <v>45583</v>
      </c>
      <c r="E24" s="6">
        <v>1975</v>
      </c>
      <c r="F24" s="16">
        <f t="shared" si="2"/>
        <v>-159</v>
      </c>
      <c r="G24" s="11">
        <f t="shared" si="0"/>
        <v>15</v>
      </c>
      <c r="H24" s="11">
        <f t="shared" si="1"/>
        <v>-115200</v>
      </c>
      <c r="I24" s="14"/>
    </row>
    <row r="25" spans="4:9" ht="14.4" x14ac:dyDescent="0.3">
      <c r="D25" s="12">
        <v>45586</v>
      </c>
      <c r="E25" s="6">
        <v>1961.45</v>
      </c>
      <c r="F25" s="16">
        <f t="shared" si="2"/>
        <v>-172.54999999999995</v>
      </c>
      <c r="G25" s="11">
        <f t="shared" si="0"/>
        <v>28.549999999999955</v>
      </c>
      <c r="H25" s="11">
        <f t="shared" si="1"/>
        <v>-115200</v>
      </c>
      <c r="I25" s="14"/>
    </row>
    <row r="26" spans="4:9" ht="14.4" x14ac:dyDescent="0.3">
      <c r="D26" s="12">
        <v>45587</v>
      </c>
      <c r="E26" s="6">
        <v>1945</v>
      </c>
      <c r="F26" s="16">
        <f t="shared" si="2"/>
        <v>-189</v>
      </c>
      <c r="G26" s="11">
        <f t="shared" si="0"/>
        <v>45</v>
      </c>
      <c r="H26" s="11">
        <f t="shared" si="1"/>
        <v>-115200</v>
      </c>
    </row>
    <row r="27" spans="4:9" ht="14.4" x14ac:dyDescent="0.3">
      <c r="D27" s="12">
        <v>45588</v>
      </c>
      <c r="E27" s="6">
        <v>1993.95</v>
      </c>
      <c r="F27" s="16">
        <f t="shared" si="2"/>
        <v>-140.04999999999995</v>
      </c>
      <c r="G27" s="11">
        <f t="shared" si="0"/>
        <v>-3.9500000000000455</v>
      </c>
      <c r="H27" s="11">
        <f t="shared" si="1"/>
        <v>-115200</v>
      </c>
    </row>
    <row r="28" spans="4:9" ht="14.4" x14ac:dyDescent="0.3">
      <c r="D28" s="12">
        <v>45589</v>
      </c>
      <c r="E28" s="6">
        <v>1983.95</v>
      </c>
      <c r="F28" s="16">
        <f t="shared" si="2"/>
        <v>-150.04999999999995</v>
      </c>
      <c r="G28" s="11">
        <f t="shared" si="0"/>
        <v>6.0499999999999545</v>
      </c>
      <c r="H28" s="11">
        <f t="shared" si="1"/>
        <v>-115200</v>
      </c>
    </row>
    <row r="29" spans="4:9" ht="14.4" x14ac:dyDescent="0.3">
      <c r="D29" s="12">
        <v>45590</v>
      </c>
      <c r="E29" s="6">
        <v>1971.95</v>
      </c>
      <c r="F29" s="16">
        <f t="shared" si="2"/>
        <v>-162.04999999999995</v>
      </c>
      <c r="G29" s="11">
        <f t="shared" si="0"/>
        <v>18.049999999999955</v>
      </c>
      <c r="H29" s="11">
        <f t="shared" si="1"/>
        <v>-115200</v>
      </c>
    </row>
    <row r="30" spans="4:9" ht="14.4" x14ac:dyDescent="0.3">
      <c r="D30" s="12">
        <v>45593</v>
      </c>
      <c r="E30" s="6">
        <v>1944.9</v>
      </c>
      <c r="F30" s="16">
        <f t="shared" si="2"/>
        <v>-189.09999999999991</v>
      </c>
      <c r="G30" s="11">
        <f t="shared" si="0"/>
        <v>45.099999999999909</v>
      </c>
      <c r="H30" s="11">
        <f t="shared" si="1"/>
        <v>-115200</v>
      </c>
    </row>
    <row r="31" spans="4:9" ht="14.4" x14ac:dyDescent="0.3">
      <c r="D31" s="12">
        <v>45594</v>
      </c>
      <c r="E31" s="6">
        <v>1930</v>
      </c>
      <c r="F31" s="16">
        <f t="shared" si="2"/>
        <v>-204</v>
      </c>
      <c r="G31" s="11">
        <f t="shared" si="0"/>
        <v>60</v>
      </c>
      <c r="H31" s="11">
        <f t="shared" si="1"/>
        <v>-115200</v>
      </c>
    </row>
    <row r="32" spans="4:9" ht="14.4" x14ac:dyDescent="0.3">
      <c r="D32" s="12">
        <v>45595</v>
      </c>
      <c r="E32" s="6">
        <v>1927.95</v>
      </c>
      <c r="F32" s="16">
        <f t="shared" si="2"/>
        <v>-206.04999999999995</v>
      </c>
      <c r="G32" s="11">
        <f t="shared" si="0"/>
        <v>62.049999999999955</v>
      </c>
      <c r="H32" s="11">
        <f t="shared" si="1"/>
        <v>-115200</v>
      </c>
    </row>
    <row r="33" spans="4:8" ht="14.4" x14ac:dyDescent="0.3">
      <c r="D33" s="12">
        <v>45596</v>
      </c>
      <c r="E33" s="6">
        <v>1920.05</v>
      </c>
      <c r="F33" s="16">
        <f t="shared" si="2"/>
        <v>-213.95000000000005</v>
      </c>
      <c r="G33" s="11">
        <f t="shared" si="0"/>
        <v>69.950000000000045</v>
      </c>
      <c r="H33" s="11">
        <f t="shared" si="1"/>
        <v>-115200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98B5-2CD2-4691-A71D-63F2C1B350AC}">
  <sheetPr codeName="Sheet8"/>
  <dimension ref="A1:K32"/>
  <sheetViews>
    <sheetView workbookViewId="0">
      <selection activeCell="B8" sqref="B8"/>
    </sheetView>
  </sheetViews>
  <sheetFormatPr defaultRowHeight="14.4" x14ac:dyDescent="0.3"/>
  <cols>
    <col min="2" max="2" width="13.109375" customWidth="1"/>
    <col min="6" max="6" width="13.33203125" customWidth="1"/>
    <col min="8" max="8" width="12.5546875" customWidth="1"/>
    <col min="9" max="9" width="13.88671875" customWidth="1"/>
    <col min="10" max="10" width="14.88671875" customWidth="1"/>
  </cols>
  <sheetData>
    <row r="1" spans="1:11" ht="18" x14ac:dyDescent="0.35">
      <c r="A1" s="17" t="s">
        <v>29</v>
      </c>
      <c r="B1" s="2"/>
      <c r="C1" s="2"/>
    </row>
    <row r="3" spans="1:11" x14ac:dyDescent="0.3">
      <c r="A3" s="13" t="s">
        <v>30</v>
      </c>
      <c r="B3" s="13" t="s">
        <v>31</v>
      </c>
      <c r="C3" s="13" t="s">
        <v>32</v>
      </c>
      <c r="D3" s="13" t="s">
        <v>33</v>
      </c>
      <c r="E3" s="18"/>
    </row>
    <row r="4" spans="1:11" x14ac:dyDescent="0.3">
      <c r="A4" s="13" t="s">
        <v>34</v>
      </c>
      <c r="B4" s="13" t="s">
        <v>26</v>
      </c>
      <c r="C4" s="13">
        <v>2080</v>
      </c>
      <c r="D4" s="13">
        <v>161.65</v>
      </c>
      <c r="E4" s="18"/>
    </row>
    <row r="5" spans="1:11" x14ac:dyDescent="0.3">
      <c r="A5" s="13" t="s">
        <v>35</v>
      </c>
      <c r="B5" s="13" t="s">
        <v>14</v>
      </c>
      <c r="C5" s="13">
        <v>2180</v>
      </c>
      <c r="D5" s="13">
        <v>54.75</v>
      </c>
      <c r="E5" s="18"/>
    </row>
    <row r="6" spans="1:11" x14ac:dyDescent="0.3">
      <c r="A6" t="s">
        <v>36</v>
      </c>
      <c r="B6" s="8" t="s">
        <v>15</v>
      </c>
      <c r="C6" s="8">
        <f>C7*C8</f>
        <v>800</v>
      </c>
      <c r="F6" s="19" t="s">
        <v>16</v>
      </c>
      <c r="G6" s="19" t="s">
        <v>27</v>
      </c>
      <c r="H6" s="19" t="s">
        <v>37</v>
      </c>
      <c r="I6" s="19" t="s">
        <v>38</v>
      </c>
      <c r="J6" s="19" t="s">
        <v>20</v>
      </c>
      <c r="K6" s="14"/>
    </row>
    <row r="7" spans="1:11" x14ac:dyDescent="0.3">
      <c r="B7" s="8" t="s">
        <v>21</v>
      </c>
      <c r="C7" s="8">
        <v>2</v>
      </c>
      <c r="F7" s="12">
        <v>45560</v>
      </c>
      <c r="G7" s="6">
        <v>2134</v>
      </c>
      <c r="H7" s="16" cm="1">
        <f t="array" ref="H7">IF(G7&gt;$C$5,($C$5-I11G7)+$D$5,$D$5)</f>
        <v>54.75</v>
      </c>
      <c r="I7" s="11">
        <f>IF(G7&gt;$C$4,(G7-$C$4)-$D$4,-$D$4)</f>
        <v>-107.65</v>
      </c>
      <c r="J7" s="11">
        <f>(SUM(H7:I7))*$C$6</f>
        <v>-42320.000000000007</v>
      </c>
      <c r="K7" s="8"/>
    </row>
    <row r="8" spans="1:11" ht="28.2" x14ac:dyDescent="0.3">
      <c r="B8" s="24" t="s">
        <v>22</v>
      </c>
      <c r="C8" s="8">
        <v>400</v>
      </c>
      <c r="F8" s="12">
        <v>45561</v>
      </c>
      <c r="G8" s="6">
        <v>2161</v>
      </c>
      <c r="H8" s="16">
        <f t="shared" ref="H8:H32" si="0">IF(G8&gt;$C$5,($C$5-G8)+$D$5,$D$5)</f>
        <v>54.75</v>
      </c>
      <c r="I8" s="11">
        <f t="shared" ref="I8:I32" si="1">IF(G8&gt;$C$4,(G8-$C$4)-$D$4,-$D$4)</f>
        <v>-80.650000000000006</v>
      </c>
      <c r="J8" s="11">
        <f t="shared" ref="J8:J32" si="2">(SUM(H8:I8))*$C$6</f>
        <v>-20720.000000000004</v>
      </c>
      <c r="K8" s="14"/>
    </row>
    <row r="9" spans="1:11" x14ac:dyDescent="0.3">
      <c r="F9" s="12">
        <v>45562</v>
      </c>
      <c r="G9" s="6">
        <v>2174.3000000000002</v>
      </c>
      <c r="H9" s="16">
        <f t="shared" si="0"/>
        <v>54.75</v>
      </c>
      <c r="I9" s="11">
        <f t="shared" si="1"/>
        <v>-67.349999999999824</v>
      </c>
      <c r="J9" s="11">
        <f t="shared" si="2"/>
        <v>-10079.999999999858</v>
      </c>
      <c r="K9" s="14"/>
    </row>
    <row r="10" spans="1:11" x14ac:dyDescent="0.3">
      <c r="F10" s="12">
        <v>45565</v>
      </c>
      <c r="G10" s="6">
        <v>2170</v>
      </c>
      <c r="H10" s="16">
        <f t="shared" si="0"/>
        <v>54.75</v>
      </c>
      <c r="I10" s="11">
        <f t="shared" si="1"/>
        <v>-71.650000000000006</v>
      </c>
      <c r="J10" s="11">
        <f t="shared" si="2"/>
        <v>-13520.000000000004</v>
      </c>
      <c r="K10" s="14"/>
    </row>
    <row r="11" spans="1:11" x14ac:dyDescent="0.3">
      <c r="F11" s="12">
        <v>45566</v>
      </c>
      <c r="G11" s="6">
        <v>2165</v>
      </c>
      <c r="H11" s="16">
        <f t="shared" si="0"/>
        <v>54.75</v>
      </c>
      <c r="I11" s="11">
        <f t="shared" si="1"/>
        <v>-76.650000000000006</v>
      </c>
      <c r="J11" s="11">
        <f t="shared" si="2"/>
        <v>-17520.000000000004</v>
      </c>
      <c r="K11" s="14"/>
    </row>
    <row r="12" spans="1:11" x14ac:dyDescent="0.3">
      <c r="F12" s="12">
        <v>45568</v>
      </c>
      <c r="G12" s="6">
        <v>2138.15</v>
      </c>
      <c r="H12" s="16">
        <f t="shared" si="0"/>
        <v>54.75</v>
      </c>
      <c r="I12" s="11">
        <f t="shared" si="1"/>
        <v>-103.49999999999991</v>
      </c>
      <c r="J12" s="11">
        <f t="shared" si="2"/>
        <v>-38999.999999999935</v>
      </c>
      <c r="K12" s="14"/>
    </row>
    <row r="13" spans="1:11" x14ac:dyDescent="0.3">
      <c r="F13" s="12">
        <v>45569</v>
      </c>
      <c r="G13" s="6">
        <v>2110.6</v>
      </c>
      <c r="H13" s="16">
        <f t="shared" si="0"/>
        <v>54.75</v>
      </c>
      <c r="I13" s="11">
        <f t="shared" si="1"/>
        <v>-131.0500000000001</v>
      </c>
      <c r="J13" s="11">
        <f t="shared" si="2"/>
        <v>-61040.00000000008</v>
      </c>
      <c r="K13" s="14"/>
    </row>
    <row r="14" spans="1:11" x14ac:dyDescent="0.3">
      <c r="F14" s="12">
        <v>45572</v>
      </c>
      <c r="G14" s="6">
        <v>2060</v>
      </c>
      <c r="H14" s="16">
        <f t="shared" si="0"/>
        <v>54.75</v>
      </c>
      <c r="I14" s="11">
        <f t="shared" si="1"/>
        <v>-161.65</v>
      </c>
      <c r="J14" s="11">
        <f t="shared" si="2"/>
        <v>-85520</v>
      </c>
      <c r="K14" s="14"/>
    </row>
    <row r="15" spans="1:11" x14ac:dyDescent="0.3">
      <c r="F15" s="12">
        <v>45573</v>
      </c>
      <c r="G15" s="6">
        <v>2125</v>
      </c>
      <c r="H15" s="16">
        <f t="shared" si="0"/>
        <v>54.75</v>
      </c>
      <c r="I15" s="11">
        <f t="shared" si="1"/>
        <v>-116.65</v>
      </c>
      <c r="J15" s="11">
        <f t="shared" si="2"/>
        <v>-49520.000000000007</v>
      </c>
      <c r="K15" s="14"/>
    </row>
    <row r="16" spans="1:11" x14ac:dyDescent="0.3">
      <c r="F16" s="12">
        <v>45574</v>
      </c>
      <c r="G16" s="6">
        <v>2104</v>
      </c>
      <c r="H16" s="16">
        <f t="shared" si="0"/>
        <v>54.75</v>
      </c>
      <c r="I16" s="11">
        <f t="shared" si="1"/>
        <v>-137.65</v>
      </c>
      <c r="J16" s="11">
        <f t="shared" si="2"/>
        <v>-66320</v>
      </c>
      <c r="K16" s="14"/>
    </row>
    <row r="17" spans="6:11" x14ac:dyDescent="0.3">
      <c r="F17" s="12">
        <v>45575</v>
      </c>
      <c r="G17" s="6">
        <v>2085</v>
      </c>
      <c r="H17" s="16">
        <f t="shared" si="0"/>
        <v>54.75</v>
      </c>
      <c r="I17" s="11">
        <f t="shared" si="1"/>
        <v>-156.65</v>
      </c>
      <c r="J17" s="11">
        <f t="shared" si="2"/>
        <v>-81520</v>
      </c>
      <c r="K17" s="14"/>
    </row>
    <row r="18" spans="6:11" x14ac:dyDescent="0.3">
      <c r="F18" s="12">
        <v>45576</v>
      </c>
      <c r="G18" s="6">
        <v>2086.8000000000002</v>
      </c>
      <c r="H18" s="16">
        <f t="shared" si="0"/>
        <v>54.75</v>
      </c>
      <c r="I18" s="11">
        <f t="shared" si="1"/>
        <v>-154.84999999999982</v>
      </c>
      <c r="J18" s="11">
        <f t="shared" si="2"/>
        <v>-80079.999999999854</v>
      </c>
      <c r="K18" s="14"/>
    </row>
    <row r="19" spans="6:11" x14ac:dyDescent="0.3">
      <c r="F19" s="12">
        <v>45579</v>
      </c>
      <c r="G19" s="6">
        <v>2096</v>
      </c>
      <c r="H19" s="16">
        <f t="shared" si="0"/>
        <v>54.75</v>
      </c>
      <c r="I19" s="11">
        <f t="shared" si="1"/>
        <v>-145.65</v>
      </c>
      <c r="J19" s="11">
        <f t="shared" si="2"/>
        <v>-72720</v>
      </c>
      <c r="K19" s="14"/>
    </row>
    <row r="20" spans="6:11" x14ac:dyDescent="0.3">
      <c r="F20" s="12">
        <v>45580</v>
      </c>
      <c r="G20" s="6">
        <v>2071.65</v>
      </c>
      <c r="H20" s="16">
        <f t="shared" si="0"/>
        <v>54.75</v>
      </c>
      <c r="I20" s="11">
        <f t="shared" si="1"/>
        <v>-161.65</v>
      </c>
      <c r="J20" s="11">
        <f t="shared" si="2"/>
        <v>-85520</v>
      </c>
      <c r="K20" s="14"/>
    </row>
    <row r="21" spans="6:11" x14ac:dyDescent="0.3">
      <c r="F21" s="12">
        <v>45581</v>
      </c>
      <c r="G21" s="6">
        <v>2031.65</v>
      </c>
      <c r="H21" s="16">
        <f t="shared" si="0"/>
        <v>54.75</v>
      </c>
      <c r="I21" s="11">
        <f t="shared" si="1"/>
        <v>-161.65</v>
      </c>
      <c r="J21" s="11">
        <f t="shared" si="2"/>
        <v>-85520</v>
      </c>
      <c r="K21" s="14"/>
    </row>
    <row r="22" spans="6:11" x14ac:dyDescent="0.3">
      <c r="F22" s="12">
        <v>45582</v>
      </c>
      <c r="G22" s="6">
        <v>1979.9</v>
      </c>
      <c r="H22" s="16">
        <f t="shared" si="0"/>
        <v>54.75</v>
      </c>
      <c r="I22" s="11">
        <f t="shared" si="1"/>
        <v>-161.65</v>
      </c>
      <c r="J22" s="11">
        <f t="shared" si="2"/>
        <v>-85520</v>
      </c>
      <c r="K22" s="14"/>
    </row>
    <row r="23" spans="6:11" x14ac:dyDescent="0.3">
      <c r="F23" s="12">
        <v>45583</v>
      </c>
      <c r="G23" s="6">
        <v>1975</v>
      </c>
      <c r="H23" s="16">
        <f t="shared" si="0"/>
        <v>54.75</v>
      </c>
      <c r="I23" s="11">
        <f t="shared" si="1"/>
        <v>-161.65</v>
      </c>
      <c r="J23" s="11">
        <f t="shared" si="2"/>
        <v>-85520</v>
      </c>
      <c r="K23" s="14"/>
    </row>
    <row r="24" spans="6:11" x14ac:dyDescent="0.3">
      <c r="F24" s="12">
        <v>45586</v>
      </c>
      <c r="G24" s="6">
        <v>1961.45</v>
      </c>
      <c r="H24" s="16">
        <f t="shared" si="0"/>
        <v>54.75</v>
      </c>
      <c r="I24" s="11">
        <f t="shared" si="1"/>
        <v>-161.65</v>
      </c>
      <c r="J24" s="11">
        <f t="shared" si="2"/>
        <v>-85520</v>
      </c>
      <c r="K24" s="14"/>
    </row>
    <row r="25" spans="6:11" x14ac:dyDescent="0.3">
      <c r="F25" s="12">
        <v>45587</v>
      </c>
      <c r="G25" s="6">
        <v>1945</v>
      </c>
      <c r="H25" s="16">
        <f t="shared" si="0"/>
        <v>54.75</v>
      </c>
      <c r="I25" s="11">
        <f t="shared" si="1"/>
        <v>-161.65</v>
      </c>
      <c r="J25" s="11">
        <f t="shared" si="2"/>
        <v>-85520</v>
      </c>
      <c r="K25" s="8"/>
    </row>
    <row r="26" spans="6:11" x14ac:dyDescent="0.3">
      <c r="F26" s="12">
        <v>45588</v>
      </c>
      <c r="G26" s="6">
        <v>1993.95</v>
      </c>
      <c r="H26" s="16">
        <f t="shared" si="0"/>
        <v>54.75</v>
      </c>
      <c r="I26" s="11">
        <f t="shared" si="1"/>
        <v>-161.65</v>
      </c>
      <c r="J26" s="11">
        <f t="shared" si="2"/>
        <v>-85520</v>
      </c>
      <c r="K26" s="8"/>
    </row>
    <row r="27" spans="6:11" x14ac:dyDescent="0.3">
      <c r="F27" s="12">
        <v>45589</v>
      </c>
      <c r="G27" s="6">
        <v>1983.95</v>
      </c>
      <c r="H27" s="16">
        <f t="shared" si="0"/>
        <v>54.75</v>
      </c>
      <c r="I27" s="11">
        <f t="shared" si="1"/>
        <v>-161.65</v>
      </c>
      <c r="J27" s="11">
        <f t="shared" si="2"/>
        <v>-85520</v>
      </c>
      <c r="K27" s="8"/>
    </row>
    <row r="28" spans="6:11" x14ac:dyDescent="0.3">
      <c r="F28" s="12">
        <v>45590</v>
      </c>
      <c r="G28" s="6">
        <v>1971.95</v>
      </c>
      <c r="H28" s="16">
        <f t="shared" si="0"/>
        <v>54.75</v>
      </c>
      <c r="I28" s="11">
        <f t="shared" si="1"/>
        <v>-161.65</v>
      </c>
      <c r="J28" s="11">
        <f t="shared" si="2"/>
        <v>-85520</v>
      </c>
      <c r="K28" s="8"/>
    </row>
    <row r="29" spans="6:11" x14ac:dyDescent="0.3">
      <c r="F29" s="12">
        <v>45593</v>
      </c>
      <c r="G29" s="6">
        <v>1944.9</v>
      </c>
      <c r="H29" s="16">
        <f t="shared" si="0"/>
        <v>54.75</v>
      </c>
      <c r="I29" s="11">
        <f t="shared" si="1"/>
        <v>-161.65</v>
      </c>
      <c r="J29" s="11">
        <f t="shared" si="2"/>
        <v>-85520</v>
      </c>
      <c r="K29" s="8"/>
    </row>
    <row r="30" spans="6:11" x14ac:dyDescent="0.3">
      <c r="F30" s="12">
        <v>45594</v>
      </c>
      <c r="G30" s="6">
        <v>1930</v>
      </c>
      <c r="H30" s="16">
        <f t="shared" si="0"/>
        <v>54.75</v>
      </c>
      <c r="I30" s="11">
        <f t="shared" si="1"/>
        <v>-161.65</v>
      </c>
      <c r="J30" s="11">
        <f t="shared" si="2"/>
        <v>-85520</v>
      </c>
      <c r="K30" s="8"/>
    </row>
    <row r="31" spans="6:11" x14ac:dyDescent="0.3">
      <c r="F31" s="12">
        <v>45595</v>
      </c>
      <c r="G31" s="6">
        <v>1927.95</v>
      </c>
      <c r="H31" s="16">
        <f t="shared" si="0"/>
        <v>54.75</v>
      </c>
      <c r="I31" s="11">
        <f t="shared" si="1"/>
        <v>-161.65</v>
      </c>
      <c r="J31" s="11">
        <f t="shared" si="2"/>
        <v>-85520</v>
      </c>
      <c r="K31" s="8"/>
    </row>
    <row r="32" spans="6:11" x14ac:dyDescent="0.3">
      <c r="F32" s="12">
        <v>45596</v>
      </c>
      <c r="G32" s="6">
        <v>1920.05</v>
      </c>
      <c r="H32" s="16">
        <f t="shared" si="0"/>
        <v>54.75</v>
      </c>
      <c r="I32" s="11">
        <f t="shared" si="1"/>
        <v>-161.65</v>
      </c>
      <c r="J32" s="11">
        <f t="shared" si="2"/>
        <v>-85520</v>
      </c>
      <c r="K32" s="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5FB3-E9E6-433A-861A-3B1F6FF43D21}">
  <sheetPr codeName="Sheet9"/>
  <dimension ref="A1:J32"/>
  <sheetViews>
    <sheetView workbookViewId="0">
      <selection activeCell="A8" sqref="A8"/>
    </sheetView>
  </sheetViews>
  <sheetFormatPr defaultRowHeight="14.4" x14ac:dyDescent="0.3"/>
  <cols>
    <col min="1" max="1" width="13.109375" customWidth="1"/>
    <col min="6" max="6" width="10.88671875" customWidth="1"/>
    <col min="8" max="8" width="11.109375" customWidth="1"/>
    <col min="9" max="9" width="14.109375" customWidth="1"/>
  </cols>
  <sheetData>
    <row r="1" spans="1:10" ht="18" x14ac:dyDescent="0.35">
      <c r="A1" s="17" t="s">
        <v>39</v>
      </c>
      <c r="B1" s="2"/>
      <c r="C1" s="2"/>
    </row>
    <row r="3" spans="1:10" x14ac:dyDescent="0.3">
      <c r="A3" s="13" t="s">
        <v>30</v>
      </c>
      <c r="B3" s="13" t="s">
        <v>31</v>
      </c>
      <c r="C3" s="13" t="s">
        <v>32</v>
      </c>
      <c r="D3" s="13" t="s">
        <v>33</v>
      </c>
      <c r="E3" s="18"/>
    </row>
    <row r="4" spans="1:10" x14ac:dyDescent="0.3">
      <c r="A4" s="13" t="s">
        <v>34</v>
      </c>
      <c r="B4" s="13" t="s">
        <v>26</v>
      </c>
      <c r="C4" s="13">
        <v>2000</v>
      </c>
      <c r="D4" s="13">
        <v>24</v>
      </c>
      <c r="E4" s="18"/>
    </row>
    <row r="5" spans="1:10" x14ac:dyDescent="0.3">
      <c r="A5" s="13" t="s">
        <v>35</v>
      </c>
      <c r="B5" s="13" t="s">
        <v>14</v>
      </c>
      <c r="C5" s="13">
        <v>2080</v>
      </c>
      <c r="D5" s="13">
        <v>90</v>
      </c>
      <c r="E5" s="18"/>
    </row>
    <row r="6" spans="1:10" x14ac:dyDescent="0.3">
      <c r="A6" s="8" t="s">
        <v>15</v>
      </c>
      <c r="B6" s="8">
        <f>B7*B8</f>
        <v>800</v>
      </c>
      <c r="F6" s="19" t="s">
        <v>16</v>
      </c>
      <c r="G6" s="19" t="s">
        <v>27</v>
      </c>
      <c r="H6" s="19" t="s">
        <v>37</v>
      </c>
      <c r="I6" s="19" t="s">
        <v>38</v>
      </c>
      <c r="J6" s="19" t="s">
        <v>20</v>
      </c>
    </row>
    <row r="7" spans="1:10" x14ac:dyDescent="0.3">
      <c r="A7" s="8" t="s">
        <v>21</v>
      </c>
      <c r="B7" s="8">
        <v>2</v>
      </c>
      <c r="F7" s="12">
        <v>45560</v>
      </c>
      <c r="G7" s="6">
        <v>2134</v>
      </c>
      <c r="H7" s="16">
        <f>IF(G7&gt;$C$5,$D$5,(G7-$C$5)+$D$5)</f>
        <v>90</v>
      </c>
      <c r="I7" s="11">
        <f>IF(G7&gt;$C$4,-$D$4,($C$4-G7)-$D$4)</f>
        <v>-24</v>
      </c>
      <c r="J7" s="11">
        <f>(SUM(H7:I7))*$B$6</f>
        <v>52800</v>
      </c>
    </row>
    <row r="8" spans="1:10" ht="28.2" x14ac:dyDescent="0.3">
      <c r="A8" s="24" t="s">
        <v>22</v>
      </c>
      <c r="B8" s="8">
        <v>400</v>
      </c>
      <c r="F8" s="12">
        <v>45561</v>
      </c>
      <c r="G8" s="6">
        <v>2161</v>
      </c>
      <c r="H8" s="16">
        <f t="shared" ref="H8:H32" si="0">IF(G8&gt;$C$5,$D$5,(G8-$C$5)+$D$5)</f>
        <v>90</v>
      </c>
      <c r="I8" s="11">
        <f t="shared" ref="I8:I32" si="1">IF(G8&gt;$C$4,-$D$4,($C$4-G8)-$D$4)</f>
        <v>-24</v>
      </c>
      <c r="J8" s="11">
        <f t="shared" ref="J8:J32" si="2">(SUM(H8:I8))*$B$6</f>
        <v>52800</v>
      </c>
    </row>
    <row r="9" spans="1:10" x14ac:dyDescent="0.3">
      <c r="F9" s="12">
        <v>45562</v>
      </c>
      <c r="G9" s="6">
        <v>2174.3000000000002</v>
      </c>
      <c r="H9" s="16">
        <f t="shared" si="0"/>
        <v>90</v>
      </c>
      <c r="I9" s="11">
        <f t="shared" si="1"/>
        <v>-24</v>
      </c>
      <c r="J9" s="11">
        <f t="shared" si="2"/>
        <v>52800</v>
      </c>
    </row>
    <row r="10" spans="1:10" x14ac:dyDescent="0.3">
      <c r="F10" s="12">
        <v>45565</v>
      </c>
      <c r="G10" s="6">
        <v>2170</v>
      </c>
      <c r="H10" s="16">
        <f t="shared" si="0"/>
        <v>90</v>
      </c>
      <c r="I10" s="11">
        <f t="shared" si="1"/>
        <v>-24</v>
      </c>
      <c r="J10" s="11">
        <f t="shared" si="2"/>
        <v>52800</v>
      </c>
    </row>
    <row r="11" spans="1:10" x14ac:dyDescent="0.3">
      <c r="F11" s="12">
        <v>45566</v>
      </c>
      <c r="G11" s="6">
        <v>2165</v>
      </c>
      <c r="H11" s="16">
        <f t="shared" si="0"/>
        <v>90</v>
      </c>
      <c r="I11" s="11">
        <f t="shared" si="1"/>
        <v>-24</v>
      </c>
      <c r="J11" s="11">
        <f t="shared" si="2"/>
        <v>52800</v>
      </c>
    </row>
    <row r="12" spans="1:10" x14ac:dyDescent="0.3">
      <c r="F12" s="12">
        <v>45568</v>
      </c>
      <c r="G12" s="6">
        <v>2138.15</v>
      </c>
      <c r="H12" s="16">
        <f t="shared" si="0"/>
        <v>90</v>
      </c>
      <c r="I12" s="11">
        <f t="shared" si="1"/>
        <v>-24</v>
      </c>
      <c r="J12" s="11">
        <f t="shared" si="2"/>
        <v>52800</v>
      </c>
    </row>
    <row r="13" spans="1:10" x14ac:dyDescent="0.3">
      <c r="F13" s="12">
        <v>45569</v>
      </c>
      <c r="G13" s="6">
        <v>2110.6</v>
      </c>
      <c r="H13" s="16">
        <f t="shared" si="0"/>
        <v>90</v>
      </c>
      <c r="I13" s="11">
        <f t="shared" si="1"/>
        <v>-24</v>
      </c>
      <c r="J13" s="11">
        <f t="shared" si="2"/>
        <v>52800</v>
      </c>
    </row>
    <row r="14" spans="1:10" x14ac:dyDescent="0.3">
      <c r="F14" s="12">
        <v>45572</v>
      </c>
      <c r="G14" s="6">
        <v>2060</v>
      </c>
      <c r="H14" s="16">
        <f t="shared" si="0"/>
        <v>70</v>
      </c>
      <c r="I14" s="11">
        <f t="shared" si="1"/>
        <v>-24</v>
      </c>
      <c r="J14" s="11">
        <f t="shared" si="2"/>
        <v>36800</v>
      </c>
    </row>
    <row r="15" spans="1:10" x14ac:dyDescent="0.3">
      <c r="F15" s="12">
        <v>45573</v>
      </c>
      <c r="G15" s="6">
        <v>2125</v>
      </c>
      <c r="H15" s="16">
        <f t="shared" si="0"/>
        <v>90</v>
      </c>
      <c r="I15" s="11">
        <f t="shared" si="1"/>
        <v>-24</v>
      </c>
      <c r="J15" s="11">
        <f t="shared" si="2"/>
        <v>52800</v>
      </c>
    </row>
    <row r="16" spans="1:10" x14ac:dyDescent="0.3">
      <c r="F16" s="12">
        <v>45574</v>
      </c>
      <c r="G16" s="6">
        <v>2104</v>
      </c>
      <c r="H16" s="16">
        <f t="shared" si="0"/>
        <v>90</v>
      </c>
      <c r="I16" s="11">
        <f t="shared" si="1"/>
        <v>-24</v>
      </c>
      <c r="J16" s="11">
        <f t="shared" si="2"/>
        <v>52800</v>
      </c>
    </row>
    <row r="17" spans="6:10" x14ac:dyDescent="0.3">
      <c r="F17" s="12">
        <v>45575</v>
      </c>
      <c r="G17" s="6">
        <v>2085</v>
      </c>
      <c r="H17" s="16">
        <f t="shared" si="0"/>
        <v>90</v>
      </c>
      <c r="I17" s="11">
        <f t="shared" si="1"/>
        <v>-24</v>
      </c>
      <c r="J17" s="11">
        <f t="shared" si="2"/>
        <v>52800</v>
      </c>
    </row>
    <row r="18" spans="6:10" x14ac:dyDescent="0.3">
      <c r="F18" s="12">
        <v>45576</v>
      </c>
      <c r="G18" s="6">
        <v>2086.8000000000002</v>
      </c>
      <c r="H18" s="16">
        <f t="shared" si="0"/>
        <v>90</v>
      </c>
      <c r="I18" s="11">
        <f t="shared" si="1"/>
        <v>-24</v>
      </c>
      <c r="J18" s="11">
        <f t="shared" si="2"/>
        <v>52800</v>
      </c>
    </row>
    <row r="19" spans="6:10" x14ac:dyDescent="0.3">
      <c r="F19" s="12">
        <v>45579</v>
      </c>
      <c r="G19" s="6">
        <v>2096</v>
      </c>
      <c r="H19" s="16">
        <f t="shared" si="0"/>
        <v>90</v>
      </c>
      <c r="I19" s="11">
        <f t="shared" si="1"/>
        <v>-24</v>
      </c>
      <c r="J19" s="11">
        <f t="shared" si="2"/>
        <v>52800</v>
      </c>
    </row>
    <row r="20" spans="6:10" x14ac:dyDescent="0.3">
      <c r="F20" s="12">
        <v>45580</v>
      </c>
      <c r="G20" s="6">
        <v>2071.65</v>
      </c>
      <c r="H20" s="16">
        <f t="shared" si="0"/>
        <v>81.650000000000091</v>
      </c>
      <c r="I20" s="11">
        <f t="shared" si="1"/>
        <v>-24</v>
      </c>
      <c r="J20" s="11">
        <f t="shared" si="2"/>
        <v>46120.000000000073</v>
      </c>
    </row>
    <row r="21" spans="6:10" x14ac:dyDescent="0.3">
      <c r="F21" s="12">
        <v>45581</v>
      </c>
      <c r="G21" s="6">
        <v>2031.65</v>
      </c>
      <c r="H21" s="16">
        <f t="shared" si="0"/>
        <v>41.650000000000091</v>
      </c>
      <c r="I21" s="11">
        <f t="shared" si="1"/>
        <v>-24</v>
      </c>
      <c r="J21" s="11">
        <f t="shared" si="2"/>
        <v>14120.000000000073</v>
      </c>
    </row>
    <row r="22" spans="6:10" x14ac:dyDescent="0.3">
      <c r="F22" s="12">
        <v>45582</v>
      </c>
      <c r="G22" s="6">
        <v>1979.9</v>
      </c>
      <c r="H22" s="16">
        <f t="shared" si="0"/>
        <v>-10.099999999999909</v>
      </c>
      <c r="I22" s="11">
        <f t="shared" si="1"/>
        <v>-3.9000000000000909</v>
      </c>
      <c r="J22" s="11">
        <f t="shared" si="2"/>
        <v>-11200</v>
      </c>
    </row>
    <row r="23" spans="6:10" x14ac:dyDescent="0.3">
      <c r="F23" s="12">
        <v>45583</v>
      </c>
      <c r="G23" s="6">
        <v>1975</v>
      </c>
      <c r="H23" s="16">
        <f t="shared" si="0"/>
        <v>-15</v>
      </c>
      <c r="I23" s="11">
        <f t="shared" si="1"/>
        <v>1</v>
      </c>
      <c r="J23" s="11">
        <f t="shared" si="2"/>
        <v>-11200</v>
      </c>
    </row>
    <row r="24" spans="6:10" x14ac:dyDescent="0.3">
      <c r="F24" s="12">
        <v>45586</v>
      </c>
      <c r="G24" s="6">
        <v>1961.45</v>
      </c>
      <c r="H24" s="16">
        <f t="shared" si="0"/>
        <v>-28.549999999999955</v>
      </c>
      <c r="I24" s="11">
        <f t="shared" si="1"/>
        <v>14.549999999999955</v>
      </c>
      <c r="J24" s="11">
        <f t="shared" si="2"/>
        <v>-11200</v>
      </c>
    </row>
    <row r="25" spans="6:10" x14ac:dyDescent="0.3">
      <c r="F25" s="12">
        <v>45587</v>
      </c>
      <c r="G25" s="6">
        <v>1945</v>
      </c>
      <c r="H25" s="16">
        <f t="shared" si="0"/>
        <v>-45</v>
      </c>
      <c r="I25" s="11">
        <f t="shared" si="1"/>
        <v>31</v>
      </c>
      <c r="J25" s="11">
        <f t="shared" si="2"/>
        <v>-11200</v>
      </c>
    </row>
    <row r="26" spans="6:10" x14ac:dyDescent="0.3">
      <c r="F26" s="12">
        <v>45588</v>
      </c>
      <c r="G26" s="6">
        <v>1993.95</v>
      </c>
      <c r="H26" s="16">
        <f t="shared" si="0"/>
        <v>3.9500000000000455</v>
      </c>
      <c r="I26" s="11">
        <f t="shared" si="1"/>
        <v>-17.950000000000045</v>
      </c>
      <c r="J26" s="11">
        <f t="shared" si="2"/>
        <v>-11200</v>
      </c>
    </row>
    <row r="27" spans="6:10" x14ac:dyDescent="0.3">
      <c r="F27" s="12">
        <v>45589</v>
      </c>
      <c r="G27" s="6">
        <v>1983.95</v>
      </c>
      <c r="H27" s="16">
        <f t="shared" si="0"/>
        <v>-6.0499999999999545</v>
      </c>
      <c r="I27" s="11">
        <f t="shared" si="1"/>
        <v>-7.9500000000000455</v>
      </c>
      <c r="J27" s="11">
        <f t="shared" si="2"/>
        <v>-11200</v>
      </c>
    </row>
    <row r="28" spans="6:10" x14ac:dyDescent="0.3">
      <c r="F28" s="12">
        <v>45590</v>
      </c>
      <c r="G28" s="6">
        <v>1971.95</v>
      </c>
      <c r="H28" s="16">
        <f t="shared" si="0"/>
        <v>-18.049999999999955</v>
      </c>
      <c r="I28" s="11">
        <f t="shared" si="1"/>
        <v>4.0499999999999545</v>
      </c>
      <c r="J28" s="11">
        <f t="shared" si="2"/>
        <v>-11200</v>
      </c>
    </row>
    <row r="29" spans="6:10" x14ac:dyDescent="0.3">
      <c r="F29" s="12">
        <v>45593</v>
      </c>
      <c r="G29" s="6">
        <v>1944.9</v>
      </c>
      <c r="H29" s="16">
        <f t="shared" si="0"/>
        <v>-45.099999999999909</v>
      </c>
      <c r="I29" s="11">
        <f t="shared" si="1"/>
        <v>31.099999999999909</v>
      </c>
      <c r="J29" s="11">
        <f t="shared" si="2"/>
        <v>-11200</v>
      </c>
    </row>
    <row r="30" spans="6:10" x14ac:dyDescent="0.3">
      <c r="F30" s="12">
        <v>45594</v>
      </c>
      <c r="G30" s="6">
        <v>1930</v>
      </c>
      <c r="H30" s="16">
        <f t="shared" si="0"/>
        <v>-60</v>
      </c>
      <c r="I30" s="11">
        <f t="shared" si="1"/>
        <v>46</v>
      </c>
      <c r="J30" s="11">
        <f t="shared" si="2"/>
        <v>-11200</v>
      </c>
    </row>
    <row r="31" spans="6:10" x14ac:dyDescent="0.3">
      <c r="F31" s="12">
        <v>45595</v>
      </c>
      <c r="G31" s="6">
        <v>1927.95</v>
      </c>
      <c r="H31" s="16">
        <f t="shared" si="0"/>
        <v>-62.049999999999955</v>
      </c>
      <c r="I31" s="11">
        <f t="shared" si="1"/>
        <v>48.049999999999955</v>
      </c>
      <c r="J31" s="11">
        <f t="shared" si="2"/>
        <v>-11200</v>
      </c>
    </row>
    <row r="32" spans="6:10" x14ac:dyDescent="0.3">
      <c r="F32" s="12">
        <v>45596</v>
      </c>
      <c r="G32" s="6">
        <v>1920.05</v>
      </c>
      <c r="H32" s="16">
        <f t="shared" si="0"/>
        <v>-69.950000000000045</v>
      </c>
      <c r="I32" s="11">
        <f t="shared" si="1"/>
        <v>55.950000000000045</v>
      </c>
      <c r="J32" s="11">
        <f t="shared" si="2"/>
        <v>-11200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45F4-604B-477D-B5D4-67BA4FAF457B}">
  <sheetPr codeName="Sheet10"/>
  <dimension ref="A1:J32"/>
  <sheetViews>
    <sheetView workbookViewId="0">
      <selection activeCell="A8" sqref="A8"/>
    </sheetView>
  </sheetViews>
  <sheetFormatPr defaultRowHeight="14.4" x14ac:dyDescent="0.3"/>
  <cols>
    <col min="1" max="1" width="12.44140625" customWidth="1"/>
    <col min="6" max="6" width="11.44140625" customWidth="1"/>
    <col min="8" max="8" width="11.109375" customWidth="1"/>
    <col min="9" max="9" width="11.44140625" customWidth="1"/>
  </cols>
  <sheetData>
    <row r="1" spans="1:10" ht="18" x14ac:dyDescent="0.35">
      <c r="A1" s="17" t="s">
        <v>40</v>
      </c>
      <c r="B1" s="2"/>
      <c r="C1" s="2"/>
    </row>
    <row r="3" spans="1:10" x14ac:dyDescent="0.3">
      <c r="A3" s="13" t="s">
        <v>30</v>
      </c>
      <c r="B3" s="13" t="s">
        <v>31</v>
      </c>
      <c r="C3" s="13" t="s">
        <v>32</v>
      </c>
      <c r="D3" s="13" t="s">
        <v>33</v>
      </c>
      <c r="E3" s="18"/>
    </row>
    <row r="4" spans="1:10" x14ac:dyDescent="0.3">
      <c r="A4" s="13" t="s">
        <v>34</v>
      </c>
      <c r="B4" s="13" t="s">
        <v>26</v>
      </c>
      <c r="C4" s="13">
        <v>2280</v>
      </c>
      <c r="D4" s="13">
        <v>41</v>
      </c>
      <c r="E4" s="18"/>
    </row>
    <row r="5" spans="1:10" x14ac:dyDescent="0.3">
      <c r="A5" s="13" t="s">
        <v>35</v>
      </c>
      <c r="B5" s="13" t="s">
        <v>14</v>
      </c>
      <c r="C5" s="13">
        <v>2180</v>
      </c>
      <c r="D5" s="13">
        <v>54.75</v>
      </c>
      <c r="E5" s="18"/>
    </row>
    <row r="6" spans="1:10" x14ac:dyDescent="0.3">
      <c r="A6" s="8" t="s">
        <v>15</v>
      </c>
      <c r="B6" s="8">
        <f>B7*B8</f>
        <v>800</v>
      </c>
      <c r="F6" s="19" t="s">
        <v>16</v>
      </c>
      <c r="G6" s="19" t="s">
        <v>27</v>
      </c>
      <c r="H6" s="19" t="s">
        <v>37</v>
      </c>
      <c r="I6" s="19" t="s">
        <v>38</v>
      </c>
      <c r="J6" s="19" t="s">
        <v>20</v>
      </c>
    </row>
    <row r="7" spans="1:10" x14ac:dyDescent="0.3">
      <c r="A7" s="8" t="s">
        <v>21</v>
      </c>
      <c r="B7" s="8">
        <v>2</v>
      </c>
      <c r="F7" s="12">
        <v>45560</v>
      </c>
      <c r="G7" s="6">
        <v>2134</v>
      </c>
      <c r="H7" s="16">
        <f>IF(G7&gt;$C$5,($C$5-G7)+$D$5,$D$5)</f>
        <v>54.75</v>
      </c>
      <c r="I7" s="11">
        <f>IF(G7&gt;$C$4,(G7-$C$4)-$D$4,-$D$4)</f>
        <v>-41</v>
      </c>
      <c r="J7" s="11">
        <f>(SUM(H7:I7))*$B$6</f>
        <v>11000</v>
      </c>
    </row>
    <row r="8" spans="1:10" ht="28.2" x14ac:dyDescent="0.3">
      <c r="A8" s="24" t="s">
        <v>22</v>
      </c>
      <c r="B8" s="8">
        <v>400</v>
      </c>
      <c r="F8" s="12">
        <v>45561</v>
      </c>
      <c r="G8" s="6">
        <v>2161</v>
      </c>
      <c r="H8" s="16">
        <f t="shared" ref="H8:H32" si="0">IF(G8&gt;$C$5,($C$5-G8)+$D$5,$D$5)</f>
        <v>54.75</v>
      </c>
      <c r="I8" s="11">
        <f t="shared" ref="I8:I32" si="1">IF(G8&gt;$C$4,(G8-$C$4)-$D$4,-$D$4)</f>
        <v>-41</v>
      </c>
      <c r="J8" s="11">
        <f t="shared" ref="J8:J32" si="2">(SUM(H8:I8))*$B$6</f>
        <v>11000</v>
      </c>
    </row>
    <row r="9" spans="1:10" x14ac:dyDescent="0.3">
      <c r="F9" s="12">
        <v>45562</v>
      </c>
      <c r="G9" s="6">
        <v>2174.3000000000002</v>
      </c>
      <c r="H9" s="16">
        <f t="shared" si="0"/>
        <v>54.75</v>
      </c>
      <c r="I9" s="11">
        <f t="shared" si="1"/>
        <v>-41</v>
      </c>
      <c r="J9" s="11">
        <f t="shared" si="2"/>
        <v>11000</v>
      </c>
    </row>
    <row r="10" spans="1:10" x14ac:dyDescent="0.3">
      <c r="F10" s="12">
        <v>45565</v>
      </c>
      <c r="G10" s="6">
        <v>2170</v>
      </c>
      <c r="H10" s="16">
        <f t="shared" si="0"/>
        <v>54.75</v>
      </c>
      <c r="I10" s="11">
        <f t="shared" si="1"/>
        <v>-41</v>
      </c>
      <c r="J10" s="11">
        <f t="shared" si="2"/>
        <v>11000</v>
      </c>
    </row>
    <row r="11" spans="1:10" x14ac:dyDescent="0.3">
      <c r="F11" s="12">
        <v>45566</v>
      </c>
      <c r="G11" s="6">
        <v>2165</v>
      </c>
      <c r="H11" s="16">
        <f t="shared" si="0"/>
        <v>54.75</v>
      </c>
      <c r="I11" s="11">
        <f t="shared" si="1"/>
        <v>-41</v>
      </c>
      <c r="J11" s="11">
        <f t="shared" si="2"/>
        <v>11000</v>
      </c>
    </row>
    <row r="12" spans="1:10" x14ac:dyDescent="0.3">
      <c r="F12" s="12">
        <v>45568</v>
      </c>
      <c r="G12" s="6">
        <v>2138.15</v>
      </c>
      <c r="H12" s="16">
        <f t="shared" si="0"/>
        <v>54.75</v>
      </c>
      <c r="I12" s="11">
        <f t="shared" si="1"/>
        <v>-41</v>
      </c>
      <c r="J12" s="11">
        <f t="shared" si="2"/>
        <v>11000</v>
      </c>
    </row>
    <row r="13" spans="1:10" x14ac:dyDescent="0.3">
      <c r="F13" s="12">
        <v>45569</v>
      </c>
      <c r="G13" s="6">
        <v>2110.6</v>
      </c>
      <c r="H13" s="16">
        <f t="shared" si="0"/>
        <v>54.75</v>
      </c>
      <c r="I13" s="11">
        <f t="shared" si="1"/>
        <v>-41</v>
      </c>
      <c r="J13" s="11">
        <f>(SUM(H13:I13))*$B$6</f>
        <v>11000</v>
      </c>
    </row>
    <row r="14" spans="1:10" x14ac:dyDescent="0.3">
      <c r="F14" s="12">
        <v>45572</v>
      </c>
      <c r="G14" s="6">
        <v>2060</v>
      </c>
      <c r="H14" s="16">
        <f t="shared" si="0"/>
        <v>54.75</v>
      </c>
      <c r="I14" s="11">
        <f t="shared" si="1"/>
        <v>-41</v>
      </c>
      <c r="J14" s="11">
        <f t="shared" si="2"/>
        <v>11000</v>
      </c>
    </row>
    <row r="15" spans="1:10" x14ac:dyDescent="0.3">
      <c r="F15" s="12">
        <v>45573</v>
      </c>
      <c r="G15" s="6">
        <v>2125</v>
      </c>
      <c r="H15" s="16">
        <f t="shared" si="0"/>
        <v>54.75</v>
      </c>
      <c r="I15" s="11">
        <f t="shared" si="1"/>
        <v>-41</v>
      </c>
      <c r="J15" s="11">
        <f t="shared" si="2"/>
        <v>11000</v>
      </c>
    </row>
    <row r="16" spans="1:10" x14ac:dyDescent="0.3">
      <c r="F16" s="12">
        <v>45574</v>
      </c>
      <c r="G16" s="6">
        <v>2104</v>
      </c>
      <c r="H16" s="16">
        <f t="shared" si="0"/>
        <v>54.75</v>
      </c>
      <c r="I16" s="11">
        <f t="shared" si="1"/>
        <v>-41</v>
      </c>
      <c r="J16" s="11">
        <f t="shared" si="2"/>
        <v>11000</v>
      </c>
    </row>
    <row r="17" spans="6:10" x14ac:dyDescent="0.3">
      <c r="F17" s="12">
        <v>45575</v>
      </c>
      <c r="G17" s="6">
        <v>2085</v>
      </c>
      <c r="H17" s="16">
        <f t="shared" si="0"/>
        <v>54.75</v>
      </c>
      <c r="I17" s="11">
        <f t="shared" si="1"/>
        <v>-41</v>
      </c>
      <c r="J17" s="11">
        <f t="shared" si="2"/>
        <v>11000</v>
      </c>
    </row>
    <row r="18" spans="6:10" x14ac:dyDescent="0.3">
      <c r="F18" s="12">
        <v>45576</v>
      </c>
      <c r="G18" s="6">
        <v>2086.8000000000002</v>
      </c>
      <c r="H18" s="16">
        <f t="shared" si="0"/>
        <v>54.75</v>
      </c>
      <c r="I18" s="11">
        <f t="shared" si="1"/>
        <v>-41</v>
      </c>
      <c r="J18" s="11">
        <f t="shared" si="2"/>
        <v>11000</v>
      </c>
    </row>
    <row r="19" spans="6:10" x14ac:dyDescent="0.3">
      <c r="F19" s="12">
        <v>45579</v>
      </c>
      <c r="G19" s="6">
        <v>2096</v>
      </c>
      <c r="H19" s="16">
        <f t="shared" si="0"/>
        <v>54.75</v>
      </c>
      <c r="I19" s="11">
        <f t="shared" si="1"/>
        <v>-41</v>
      </c>
      <c r="J19" s="11">
        <f t="shared" si="2"/>
        <v>11000</v>
      </c>
    </row>
    <row r="20" spans="6:10" x14ac:dyDescent="0.3">
      <c r="F20" s="12">
        <v>45580</v>
      </c>
      <c r="G20" s="6">
        <v>2071.65</v>
      </c>
      <c r="H20" s="16">
        <f t="shared" si="0"/>
        <v>54.75</v>
      </c>
      <c r="I20" s="11">
        <f t="shared" si="1"/>
        <v>-41</v>
      </c>
      <c r="J20" s="11">
        <f t="shared" si="2"/>
        <v>11000</v>
      </c>
    </row>
    <row r="21" spans="6:10" x14ac:dyDescent="0.3">
      <c r="F21" s="12">
        <v>45581</v>
      </c>
      <c r="G21" s="6">
        <v>2031.65</v>
      </c>
      <c r="H21" s="16">
        <f t="shared" si="0"/>
        <v>54.75</v>
      </c>
      <c r="I21" s="11">
        <f t="shared" si="1"/>
        <v>-41</v>
      </c>
      <c r="J21" s="11">
        <f t="shared" si="2"/>
        <v>11000</v>
      </c>
    </row>
    <row r="22" spans="6:10" x14ac:dyDescent="0.3">
      <c r="F22" s="12">
        <v>45582</v>
      </c>
      <c r="G22" s="6">
        <v>1979.9</v>
      </c>
      <c r="H22" s="16">
        <f t="shared" si="0"/>
        <v>54.75</v>
      </c>
      <c r="I22" s="11">
        <f t="shared" si="1"/>
        <v>-41</v>
      </c>
      <c r="J22" s="11">
        <f t="shared" si="2"/>
        <v>11000</v>
      </c>
    </row>
    <row r="23" spans="6:10" x14ac:dyDescent="0.3">
      <c r="F23" s="12">
        <v>45583</v>
      </c>
      <c r="G23" s="6">
        <v>1975</v>
      </c>
      <c r="H23" s="16">
        <f t="shared" si="0"/>
        <v>54.75</v>
      </c>
      <c r="I23" s="11">
        <f t="shared" si="1"/>
        <v>-41</v>
      </c>
      <c r="J23" s="11">
        <f t="shared" si="2"/>
        <v>11000</v>
      </c>
    </row>
    <row r="24" spans="6:10" x14ac:dyDescent="0.3">
      <c r="F24" s="12">
        <v>45586</v>
      </c>
      <c r="G24" s="6">
        <v>1961.45</v>
      </c>
      <c r="H24" s="16">
        <f t="shared" si="0"/>
        <v>54.75</v>
      </c>
      <c r="I24" s="11">
        <f t="shared" si="1"/>
        <v>-41</v>
      </c>
      <c r="J24" s="11">
        <f t="shared" si="2"/>
        <v>11000</v>
      </c>
    </row>
    <row r="25" spans="6:10" x14ac:dyDescent="0.3">
      <c r="F25" s="12">
        <v>45587</v>
      </c>
      <c r="G25" s="6">
        <v>1945</v>
      </c>
      <c r="H25" s="16">
        <f t="shared" si="0"/>
        <v>54.75</v>
      </c>
      <c r="I25" s="11">
        <f t="shared" si="1"/>
        <v>-41</v>
      </c>
      <c r="J25" s="11">
        <f t="shared" si="2"/>
        <v>11000</v>
      </c>
    </row>
    <row r="26" spans="6:10" x14ac:dyDescent="0.3">
      <c r="F26" s="12">
        <v>45588</v>
      </c>
      <c r="G26" s="6">
        <v>1993.95</v>
      </c>
      <c r="H26" s="16">
        <f t="shared" si="0"/>
        <v>54.75</v>
      </c>
      <c r="I26" s="11">
        <f t="shared" si="1"/>
        <v>-41</v>
      </c>
      <c r="J26" s="11">
        <f t="shared" si="2"/>
        <v>11000</v>
      </c>
    </row>
    <row r="27" spans="6:10" x14ac:dyDescent="0.3">
      <c r="F27" s="12">
        <v>45589</v>
      </c>
      <c r="G27" s="6">
        <v>1983.95</v>
      </c>
      <c r="H27" s="16">
        <f t="shared" si="0"/>
        <v>54.75</v>
      </c>
      <c r="I27" s="11">
        <f t="shared" si="1"/>
        <v>-41</v>
      </c>
      <c r="J27" s="11">
        <f t="shared" si="2"/>
        <v>11000</v>
      </c>
    </row>
    <row r="28" spans="6:10" x14ac:dyDescent="0.3">
      <c r="F28" s="12">
        <v>45590</v>
      </c>
      <c r="G28" s="6">
        <v>1971.95</v>
      </c>
      <c r="H28" s="16">
        <f t="shared" si="0"/>
        <v>54.75</v>
      </c>
      <c r="I28" s="11">
        <f t="shared" si="1"/>
        <v>-41</v>
      </c>
      <c r="J28" s="11">
        <f t="shared" si="2"/>
        <v>11000</v>
      </c>
    </row>
    <row r="29" spans="6:10" x14ac:dyDescent="0.3">
      <c r="F29" s="12">
        <v>45593</v>
      </c>
      <c r="G29" s="6">
        <v>1944.9</v>
      </c>
      <c r="H29" s="16">
        <f t="shared" si="0"/>
        <v>54.75</v>
      </c>
      <c r="I29" s="11">
        <f t="shared" si="1"/>
        <v>-41</v>
      </c>
      <c r="J29" s="11">
        <f t="shared" si="2"/>
        <v>11000</v>
      </c>
    </row>
    <row r="30" spans="6:10" x14ac:dyDescent="0.3">
      <c r="F30" s="12">
        <v>45594</v>
      </c>
      <c r="G30" s="6">
        <v>1930</v>
      </c>
      <c r="H30" s="16">
        <f t="shared" si="0"/>
        <v>54.75</v>
      </c>
      <c r="I30" s="11">
        <f t="shared" si="1"/>
        <v>-41</v>
      </c>
      <c r="J30" s="11">
        <f t="shared" si="2"/>
        <v>11000</v>
      </c>
    </row>
    <row r="31" spans="6:10" x14ac:dyDescent="0.3">
      <c r="F31" s="12">
        <v>45595</v>
      </c>
      <c r="G31" s="6">
        <v>1927.95</v>
      </c>
      <c r="H31" s="16">
        <f t="shared" si="0"/>
        <v>54.75</v>
      </c>
      <c r="I31" s="11">
        <f t="shared" si="1"/>
        <v>-41</v>
      </c>
      <c r="J31" s="11">
        <f t="shared" si="2"/>
        <v>11000</v>
      </c>
    </row>
    <row r="32" spans="6:10" x14ac:dyDescent="0.3">
      <c r="F32" s="12">
        <v>45596</v>
      </c>
      <c r="G32" s="6">
        <v>1920.05</v>
      </c>
      <c r="H32" s="16">
        <f t="shared" si="0"/>
        <v>54.75</v>
      </c>
      <c r="I32" s="11">
        <f t="shared" si="1"/>
        <v>-41</v>
      </c>
      <c r="J32" s="11">
        <f t="shared" si="2"/>
        <v>11000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6E4A-EB8B-47EF-BD2E-C0BAE9063EF3}">
  <sheetPr codeName="Sheet11"/>
  <dimension ref="A1:J32"/>
  <sheetViews>
    <sheetView zoomScaleNormal="100" workbookViewId="0">
      <selection activeCell="A8" sqref="A8"/>
    </sheetView>
  </sheetViews>
  <sheetFormatPr defaultRowHeight="14.4" x14ac:dyDescent="0.3"/>
  <cols>
    <col min="1" max="1" width="11.88671875" customWidth="1"/>
    <col min="6" max="6" width="12.109375" customWidth="1"/>
    <col min="8" max="8" width="11" customWidth="1"/>
    <col min="9" max="9" width="11.88671875" customWidth="1"/>
    <col min="10" max="10" width="12.88671875" customWidth="1"/>
  </cols>
  <sheetData>
    <row r="1" spans="1:10" ht="18" x14ac:dyDescent="0.35">
      <c r="A1" s="17" t="s">
        <v>41</v>
      </c>
      <c r="B1" s="2"/>
      <c r="C1" s="2"/>
    </row>
    <row r="3" spans="1:10" x14ac:dyDescent="0.3">
      <c r="A3" s="13" t="s">
        <v>30</v>
      </c>
      <c r="B3" s="13" t="s">
        <v>31</v>
      </c>
      <c r="C3" s="13" t="s">
        <v>32</v>
      </c>
      <c r="D3" s="13" t="s">
        <v>33</v>
      </c>
      <c r="E3" s="18"/>
    </row>
    <row r="4" spans="1:10" x14ac:dyDescent="0.3">
      <c r="A4" s="13" t="s">
        <v>34</v>
      </c>
      <c r="B4" s="13" t="s">
        <v>26</v>
      </c>
      <c r="C4" s="13">
        <v>2180</v>
      </c>
      <c r="D4" s="13">
        <v>173.64</v>
      </c>
      <c r="E4" s="18"/>
    </row>
    <row r="5" spans="1:10" x14ac:dyDescent="0.3">
      <c r="A5" s="13" t="s">
        <v>35</v>
      </c>
      <c r="B5" s="13" t="s">
        <v>14</v>
      </c>
      <c r="C5" s="13">
        <v>2080</v>
      </c>
      <c r="D5" s="13">
        <v>90</v>
      </c>
      <c r="E5" s="18"/>
    </row>
    <row r="6" spans="1:10" ht="28.2" x14ac:dyDescent="0.3">
      <c r="A6" s="24" t="s">
        <v>15</v>
      </c>
      <c r="B6" s="8">
        <f>B7*B8</f>
        <v>800</v>
      </c>
      <c r="F6" s="19" t="s">
        <v>16</v>
      </c>
      <c r="G6" s="19" t="s">
        <v>27</v>
      </c>
      <c r="H6" s="19" t="s">
        <v>37</v>
      </c>
      <c r="I6" s="19" t="s">
        <v>38</v>
      </c>
      <c r="J6" s="19" t="s">
        <v>20</v>
      </c>
    </row>
    <row r="7" spans="1:10" x14ac:dyDescent="0.3">
      <c r="A7" s="8" t="s">
        <v>21</v>
      </c>
      <c r="B7" s="8">
        <v>2</v>
      </c>
      <c r="F7" s="12">
        <v>45560</v>
      </c>
      <c r="G7" s="6">
        <v>2134</v>
      </c>
      <c r="H7" s="16">
        <f>IF(G7&gt;$C$5,$D$5,(G7-$C$5)+$D$5)</f>
        <v>90</v>
      </c>
      <c r="I7" s="11">
        <f>IF(H7&gt;$C$4,-$D$4,($C$4-H7)-$D$4)</f>
        <v>1916.3600000000001</v>
      </c>
      <c r="J7" s="11">
        <f>(SUM(H7:I7))*$B$6</f>
        <v>1605088</v>
      </c>
    </row>
    <row r="8" spans="1:10" ht="28.2" x14ac:dyDescent="0.3">
      <c r="A8" s="24" t="s">
        <v>22</v>
      </c>
      <c r="B8" s="8">
        <v>400</v>
      </c>
      <c r="F8" s="12">
        <v>45561</v>
      </c>
      <c r="G8" s="6">
        <v>2161</v>
      </c>
      <c r="H8" s="16">
        <f t="shared" ref="H8:H32" si="0">IF(G8&gt;$C$5,$D$5,(G8-$C$5)+$D$5)</f>
        <v>90</v>
      </c>
      <c r="I8" s="11">
        <f t="shared" ref="I8:I32" si="1">IF(H8&gt;$C$4,-$D$4,($C$4-H8)-$D$4)</f>
        <v>1916.3600000000001</v>
      </c>
      <c r="J8" s="11">
        <f t="shared" ref="J8:J32" si="2">(SUM(H8:I8))*$B$6</f>
        <v>1605088</v>
      </c>
    </row>
    <row r="9" spans="1:10" x14ac:dyDescent="0.3">
      <c r="F9" s="12">
        <v>45562</v>
      </c>
      <c r="G9" s="6">
        <v>2174.3000000000002</v>
      </c>
      <c r="H9" s="16">
        <f t="shared" si="0"/>
        <v>90</v>
      </c>
      <c r="I9" s="11">
        <f t="shared" si="1"/>
        <v>1916.3600000000001</v>
      </c>
      <c r="J9" s="11">
        <f t="shared" si="2"/>
        <v>1605088</v>
      </c>
    </row>
    <row r="10" spans="1:10" x14ac:dyDescent="0.3">
      <c r="F10" s="12">
        <v>45565</v>
      </c>
      <c r="G10" s="6">
        <v>2170</v>
      </c>
      <c r="H10" s="16">
        <f t="shared" si="0"/>
        <v>90</v>
      </c>
      <c r="I10" s="11">
        <f t="shared" si="1"/>
        <v>1916.3600000000001</v>
      </c>
      <c r="J10" s="11">
        <f t="shared" si="2"/>
        <v>1605088</v>
      </c>
    </row>
    <row r="11" spans="1:10" x14ac:dyDescent="0.3">
      <c r="F11" s="12">
        <v>45566</v>
      </c>
      <c r="G11" s="6">
        <v>2165</v>
      </c>
      <c r="H11" s="16">
        <f t="shared" si="0"/>
        <v>90</v>
      </c>
      <c r="I11" s="11">
        <f t="shared" si="1"/>
        <v>1916.3600000000001</v>
      </c>
      <c r="J11" s="11">
        <f t="shared" si="2"/>
        <v>1605088</v>
      </c>
    </row>
    <row r="12" spans="1:10" x14ac:dyDescent="0.3">
      <c r="F12" s="12">
        <v>45568</v>
      </c>
      <c r="G12" s="6">
        <v>2138.15</v>
      </c>
      <c r="H12" s="16">
        <f t="shared" si="0"/>
        <v>90</v>
      </c>
      <c r="I12" s="11">
        <f t="shared" si="1"/>
        <v>1916.3600000000001</v>
      </c>
      <c r="J12" s="11">
        <f t="shared" si="2"/>
        <v>1605088</v>
      </c>
    </row>
    <row r="13" spans="1:10" x14ac:dyDescent="0.3">
      <c r="F13" s="12">
        <v>45569</v>
      </c>
      <c r="G13" s="6">
        <v>2110.6</v>
      </c>
      <c r="H13" s="16">
        <f t="shared" si="0"/>
        <v>90</v>
      </c>
      <c r="I13" s="11">
        <f t="shared" si="1"/>
        <v>1916.3600000000001</v>
      </c>
      <c r="J13" s="11">
        <f>(SUM(H13:I13))*$B$6</f>
        <v>1605088</v>
      </c>
    </row>
    <row r="14" spans="1:10" x14ac:dyDescent="0.3">
      <c r="F14" s="12">
        <v>45572</v>
      </c>
      <c r="G14" s="6">
        <v>2060</v>
      </c>
      <c r="H14" s="16">
        <f t="shared" si="0"/>
        <v>70</v>
      </c>
      <c r="I14" s="11">
        <f t="shared" si="1"/>
        <v>1936.3600000000001</v>
      </c>
      <c r="J14" s="11">
        <f t="shared" si="2"/>
        <v>1605088</v>
      </c>
    </row>
    <row r="15" spans="1:10" x14ac:dyDescent="0.3">
      <c r="F15" s="12">
        <v>45573</v>
      </c>
      <c r="G15" s="6">
        <v>2125</v>
      </c>
      <c r="H15" s="16">
        <f t="shared" si="0"/>
        <v>90</v>
      </c>
      <c r="I15" s="11">
        <f t="shared" si="1"/>
        <v>1916.3600000000001</v>
      </c>
      <c r="J15" s="11">
        <f>(SUM(H15:I15))*$B$6</f>
        <v>1605088</v>
      </c>
    </row>
    <row r="16" spans="1:10" x14ac:dyDescent="0.3">
      <c r="F16" s="12">
        <v>45574</v>
      </c>
      <c r="G16" s="6">
        <v>2104</v>
      </c>
      <c r="H16" s="16">
        <f t="shared" si="0"/>
        <v>90</v>
      </c>
      <c r="I16" s="11">
        <f t="shared" si="1"/>
        <v>1916.3600000000001</v>
      </c>
      <c r="J16" s="11">
        <f>(SUM(H16:I16))*$B$6</f>
        <v>1605088</v>
      </c>
    </row>
    <row r="17" spans="6:10" x14ac:dyDescent="0.3">
      <c r="F17" s="12">
        <v>45575</v>
      </c>
      <c r="G17" s="6">
        <v>2085</v>
      </c>
      <c r="H17" s="16">
        <f t="shared" si="0"/>
        <v>90</v>
      </c>
      <c r="I17" s="11">
        <f t="shared" si="1"/>
        <v>1916.3600000000001</v>
      </c>
      <c r="J17" s="11">
        <f t="shared" si="2"/>
        <v>1605088</v>
      </c>
    </row>
    <row r="18" spans="6:10" x14ac:dyDescent="0.3">
      <c r="F18" s="12">
        <v>45576</v>
      </c>
      <c r="G18" s="6">
        <v>2086.8000000000002</v>
      </c>
      <c r="H18" s="16">
        <f t="shared" si="0"/>
        <v>90</v>
      </c>
      <c r="I18" s="11">
        <f t="shared" si="1"/>
        <v>1916.3600000000001</v>
      </c>
      <c r="J18" s="11">
        <f t="shared" si="2"/>
        <v>1605088</v>
      </c>
    </row>
    <row r="19" spans="6:10" x14ac:dyDescent="0.3">
      <c r="F19" s="12">
        <v>45579</v>
      </c>
      <c r="G19" s="6">
        <v>2096</v>
      </c>
      <c r="H19" s="16">
        <f t="shared" si="0"/>
        <v>90</v>
      </c>
      <c r="I19" s="11">
        <f t="shared" si="1"/>
        <v>1916.3600000000001</v>
      </c>
      <c r="J19" s="11">
        <f t="shared" si="2"/>
        <v>1605088</v>
      </c>
    </row>
    <row r="20" spans="6:10" x14ac:dyDescent="0.3">
      <c r="F20" s="12">
        <v>45580</v>
      </c>
      <c r="G20" s="6">
        <v>2071.65</v>
      </c>
      <c r="H20" s="16">
        <f t="shared" si="0"/>
        <v>81.650000000000091</v>
      </c>
      <c r="I20" s="11">
        <f t="shared" si="1"/>
        <v>1924.71</v>
      </c>
      <c r="J20" s="11">
        <f>(SUM(H20:I20))*$B$6</f>
        <v>1605088</v>
      </c>
    </row>
    <row r="21" spans="6:10" x14ac:dyDescent="0.3">
      <c r="F21" s="12">
        <v>45581</v>
      </c>
      <c r="G21" s="6">
        <v>2031.65</v>
      </c>
      <c r="H21" s="16">
        <f t="shared" si="0"/>
        <v>41.650000000000091</v>
      </c>
      <c r="I21" s="11">
        <f t="shared" si="1"/>
        <v>1964.71</v>
      </c>
      <c r="J21" s="11">
        <f t="shared" si="2"/>
        <v>1605088</v>
      </c>
    </row>
    <row r="22" spans="6:10" x14ac:dyDescent="0.3">
      <c r="F22" s="12">
        <v>45582</v>
      </c>
      <c r="G22" s="6">
        <v>1979.9</v>
      </c>
      <c r="H22" s="16">
        <f t="shared" si="0"/>
        <v>-10.099999999999909</v>
      </c>
      <c r="I22" s="11">
        <f t="shared" si="1"/>
        <v>2016.46</v>
      </c>
      <c r="J22" s="11">
        <f t="shared" si="2"/>
        <v>1605088</v>
      </c>
    </row>
    <row r="23" spans="6:10" x14ac:dyDescent="0.3">
      <c r="F23" s="12">
        <v>45583</v>
      </c>
      <c r="G23" s="6">
        <v>1975</v>
      </c>
      <c r="H23" s="16">
        <f t="shared" si="0"/>
        <v>-15</v>
      </c>
      <c r="I23" s="11">
        <f t="shared" si="1"/>
        <v>2021.3600000000001</v>
      </c>
      <c r="J23" s="11">
        <f t="shared" si="2"/>
        <v>1605088</v>
      </c>
    </row>
    <row r="24" spans="6:10" x14ac:dyDescent="0.3">
      <c r="F24" s="12">
        <v>45586</v>
      </c>
      <c r="G24" s="6">
        <v>1961.45</v>
      </c>
      <c r="H24" s="16">
        <f t="shared" si="0"/>
        <v>-28.549999999999955</v>
      </c>
      <c r="I24" s="11">
        <f t="shared" si="1"/>
        <v>2034.9100000000003</v>
      </c>
      <c r="J24" s="11">
        <f t="shared" si="2"/>
        <v>1605088.0000000002</v>
      </c>
    </row>
    <row r="25" spans="6:10" x14ac:dyDescent="0.3">
      <c r="F25" s="12">
        <v>45587</v>
      </c>
      <c r="G25" s="6">
        <v>1945</v>
      </c>
      <c r="H25" s="16">
        <f t="shared" si="0"/>
        <v>-45</v>
      </c>
      <c r="I25" s="11">
        <f t="shared" si="1"/>
        <v>2051.36</v>
      </c>
      <c r="J25" s="11">
        <f t="shared" si="2"/>
        <v>1605088</v>
      </c>
    </row>
    <row r="26" spans="6:10" x14ac:dyDescent="0.3">
      <c r="F26" s="12">
        <v>45588</v>
      </c>
      <c r="G26" s="6">
        <v>1993.95</v>
      </c>
      <c r="H26" s="16">
        <f t="shared" si="0"/>
        <v>3.9500000000000455</v>
      </c>
      <c r="I26" s="11">
        <f t="shared" si="1"/>
        <v>2002.4100000000003</v>
      </c>
      <c r="J26" s="11">
        <f t="shared" si="2"/>
        <v>1605088.0000000002</v>
      </c>
    </row>
    <row r="27" spans="6:10" x14ac:dyDescent="0.3">
      <c r="F27" s="12">
        <v>45589</v>
      </c>
      <c r="G27" s="6">
        <v>1983.95</v>
      </c>
      <c r="H27" s="16">
        <f t="shared" si="0"/>
        <v>-6.0499999999999545</v>
      </c>
      <c r="I27" s="11">
        <f t="shared" si="1"/>
        <v>2012.4100000000003</v>
      </c>
      <c r="J27" s="11">
        <f t="shared" si="2"/>
        <v>1605088.0000000002</v>
      </c>
    </row>
    <row r="28" spans="6:10" x14ac:dyDescent="0.3">
      <c r="F28" s="12">
        <v>45590</v>
      </c>
      <c r="G28" s="6">
        <v>1971.95</v>
      </c>
      <c r="H28" s="16">
        <f t="shared" si="0"/>
        <v>-18.049999999999955</v>
      </c>
      <c r="I28" s="11">
        <f>IF(H28&gt;$C$4,-$D$4,($C$4-H28)-$D$4)</f>
        <v>2024.4100000000003</v>
      </c>
      <c r="J28" s="11">
        <f t="shared" si="2"/>
        <v>1605088.0000000002</v>
      </c>
    </row>
    <row r="29" spans="6:10" x14ac:dyDescent="0.3">
      <c r="F29" s="12">
        <v>45593</v>
      </c>
      <c r="G29" s="6">
        <v>1944.9</v>
      </c>
      <c r="H29" s="16">
        <f t="shared" si="0"/>
        <v>-45.099999999999909</v>
      </c>
      <c r="I29" s="11">
        <f t="shared" si="1"/>
        <v>2051.46</v>
      </c>
      <c r="J29" s="11">
        <f t="shared" si="2"/>
        <v>1605088</v>
      </c>
    </row>
    <row r="30" spans="6:10" x14ac:dyDescent="0.3">
      <c r="F30" s="12">
        <v>45594</v>
      </c>
      <c r="G30" s="6">
        <v>1930</v>
      </c>
      <c r="H30" s="16">
        <f t="shared" si="0"/>
        <v>-60</v>
      </c>
      <c r="I30" s="11">
        <f t="shared" si="1"/>
        <v>2066.36</v>
      </c>
      <c r="J30" s="11">
        <f t="shared" si="2"/>
        <v>1605088</v>
      </c>
    </row>
    <row r="31" spans="6:10" x14ac:dyDescent="0.3">
      <c r="F31" s="12">
        <v>45595</v>
      </c>
      <c r="G31" s="6">
        <v>1927.95</v>
      </c>
      <c r="H31" s="16">
        <f t="shared" si="0"/>
        <v>-62.049999999999955</v>
      </c>
      <c r="I31" s="11">
        <f t="shared" si="1"/>
        <v>2068.4100000000003</v>
      </c>
      <c r="J31" s="11">
        <f t="shared" si="2"/>
        <v>1605088.0000000002</v>
      </c>
    </row>
    <row r="32" spans="6:10" x14ac:dyDescent="0.3">
      <c r="F32" s="12">
        <v>45596</v>
      </c>
      <c r="G32" s="6">
        <v>1920.05</v>
      </c>
      <c r="H32" s="16">
        <f t="shared" si="0"/>
        <v>-69.950000000000045</v>
      </c>
      <c r="I32" s="11">
        <f t="shared" si="1"/>
        <v>2076.31</v>
      </c>
      <c r="J32" s="11">
        <f t="shared" si="2"/>
        <v>1605088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DC76-9D7D-46AC-8E09-9594C6A48E33}">
  <dimension ref="A1:K32"/>
  <sheetViews>
    <sheetView topLeftCell="K1" workbookViewId="0">
      <selection activeCell="A8" sqref="A8"/>
    </sheetView>
  </sheetViews>
  <sheetFormatPr defaultRowHeight="14.4" x14ac:dyDescent="0.3"/>
  <cols>
    <col min="1" max="1" width="11.33203125" customWidth="1"/>
    <col min="6" max="6" width="9.109375" bestFit="1" customWidth="1"/>
  </cols>
  <sheetData>
    <row r="1" spans="1:11" ht="18" x14ac:dyDescent="0.35">
      <c r="A1" s="17" t="s">
        <v>42</v>
      </c>
      <c r="B1" s="2"/>
      <c r="C1" s="2"/>
    </row>
    <row r="3" spans="1:11" x14ac:dyDescent="0.3">
      <c r="A3" s="13" t="s">
        <v>30</v>
      </c>
      <c r="B3" s="13" t="s">
        <v>31</v>
      </c>
      <c r="C3" s="13" t="s">
        <v>32</v>
      </c>
      <c r="D3" s="13" t="s">
        <v>33</v>
      </c>
      <c r="E3" s="18"/>
    </row>
    <row r="4" spans="1:11" x14ac:dyDescent="0.3">
      <c r="A4" s="13" t="s">
        <v>34</v>
      </c>
      <c r="B4" s="13" t="s">
        <v>43</v>
      </c>
      <c r="C4" s="13">
        <v>2080</v>
      </c>
      <c r="D4" s="13">
        <v>161.65</v>
      </c>
      <c r="E4" s="18"/>
    </row>
    <row r="5" spans="1:11" x14ac:dyDescent="0.3">
      <c r="A5" s="13" t="s">
        <v>35</v>
      </c>
      <c r="B5" s="13" t="s">
        <v>44</v>
      </c>
      <c r="C5" s="13">
        <v>2080</v>
      </c>
      <c r="D5" s="13">
        <v>90</v>
      </c>
      <c r="E5" s="18"/>
    </row>
    <row r="6" spans="1:11" x14ac:dyDescent="0.3">
      <c r="A6" s="8" t="s">
        <v>15</v>
      </c>
      <c r="B6" s="8">
        <f>B7*B8</f>
        <v>800</v>
      </c>
      <c r="F6" s="19" t="s">
        <v>16</v>
      </c>
      <c r="G6" s="19" t="s">
        <v>27</v>
      </c>
      <c r="H6" s="19" t="s">
        <v>45</v>
      </c>
      <c r="I6" s="19" t="s">
        <v>46</v>
      </c>
      <c r="J6" s="19" t="s">
        <v>20</v>
      </c>
      <c r="K6" s="14"/>
    </row>
    <row r="7" spans="1:11" x14ac:dyDescent="0.3">
      <c r="A7" s="8" t="s">
        <v>21</v>
      </c>
      <c r="B7" s="8">
        <v>2</v>
      </c>
      <c r="F7" s="12">
        <v>45560</v>
      </c>
      <c r="G7" s="6">
        <v>2134</v>
      </c>
      <c r="H7" s="16">
        <f>IF(G7&gt;$C$4,(G7-$C$4)-$D$4,-$D$4)</f>
        <v>-107.65</v>
      </c>
      <c r="I7" s="11">
        <f>IF(G7&gt;$C$5,-$D$5,($C$5-G7)-$D$5)</f>
        <v>-90</v>
      </c>
      <c r="J7" s="11">
        <f>(SUM(H7:I7))*$B$6</f>
        <v>-158120</v>
      </c>
      <c r="K7" s="8"/>
    </row>
    <row r="8" spans="1:11" ht="28.2" x14ac:dyDescent="0.3">
      <c r="A8" s="24" t="s">
        <v>22</v>
      </c>
      <c r="B8" s="8">
        <v>400</v>
      </c>
      <c r="F8" s="12">
        <v>45561</v>
      </c>
      <c r="G8" s="6">
        <v>2161</v>
      </c>
      <c r="H8" s="16">
        <f t="shared" ref="H8:H32" si="0">IF(G8&gt;$C$4,(G8-$C$4)-$D$4,-$D$4)</f>
        <v>-80.650000000000006</v>
      </c>
      <c r="I8" s="11">
        <f t="shared" ref="I8:I32" si="1">IF(G8&gt;$C$5,-$D$5,($C$5-G8)-$D$5)</f>
        <v>-90</v>
      </c>
      <c r="J8" s="11">
        <f t="shared" ref="J8:J32" si="2">(SUM(H8:I8))*$B$6</f>
        <v>-136520</v>
      </c>
      <c r="K8" s="14"/>
    </row>
    <row r="9" spans="1:11" x14ac:dyDescent="0.3">
      <c r="F9" s="12">
        <v>45562</v>
      </c>
      <c r="G9" s="6">
        <v>2174.3000000000002</v>
      </c>
      <c r="H9" s="16">
        <f t="shared" si="0"/>
        <v>-67.349999999999824</v>
      </c>
      <c r="I9" s="11">
        <f t="shared" si="1"/>
        <v>-90</v>
      </c>
      <c r="J9" s="11">
        <f t="shared" si="2"/>
        <v>-125879.99999999985</v>
      </c>
      <c r="K9" s="14"/>
    </row>
    <row r="10" spans="1:11" x14ac:dyDescent="0.3">
      <c r="F10" s="12">
        <v>45565</v>
      </c>
      <c r="G10" s="6">
        <v>2170</v>
      </c>
      <c r="H10" s="16">
        <f t="shared" si="0"/>
        <v>-71.650000000000006</v>
      </c>
      <c r="I10" s="11">
        <f t="shared" si="1"/>
        <v>-90</v>
      </c>
      <c r="J10" s="11">
        <f t="shared" si="2"/>
        <v>-129320</v>
      </c>
      <c r="K10" s="14"/>
    </row>
    <row r="11" spans="1:11" x14ac:dyDescent="0.3">
      <c r="F11" s="12">
        <v>45566</v>
      </c>
      <c r="G11" s="6">
        <v>2165</v>
      </c>
      <c r="H11" s="16">
        <f t="shared" si="0"/>
        <v>-76.650000000000006</v>
      </c>
      <c r="I11" s="11">
        <f t="shared" si="1"/>
        <v>-90</v>
      </c>
      <c r="J11" s="11">
        <f t="shared" si="2"/>
        <v>-133320</v>
      </c>
      <c r="K11" s="14"/>
    </row>
    <row r="12" spans="1:11" x14ac:dyDescent="0.3">
      <c r="F12" s="12">
        <v>45568</v>
      </c>
      <c r="G12" s="6">
        <v>2138.15</v>
      </c>
      <c r="H12" s="16">
        <f t="shared" si="0"/>
        <v>-103.49999999999991</v>
      </c>
      <c r="I12" s="11">
        <f t="shared" si="1"/>
        <v>-90</v>
      </c>
      <c r="J12" s="11">
        <f t="shared" si="2"/>
        <v>-154799.99999999994</v>
      </c>
      <c r="K12" s="14"/>
    </row>
    <row r="13" spans="1:11" x14ac:dyDescent="0.3">
      <c r="F13" s="12">
        <v>45569</v>
      </c>
      <c r="G13" s="6">
        <v>2110.6</v>
      </c>
      <c r="H13" s="16">
        <f t="shared" si="0"/>
        <v>-131.0500000000001</v>
      </c>
      <c r="I13" s="11">
        <f t="shared" si="1"/>
        <v>-90</v>
      </c>
      <c r="J13" s="11">
        <f t="shared" si="2"/>
        <v>-176840.00000000009</v>
      </c>
      <c r="K13" s="14"/>
    </row>
    <row r="14" spans="1:11" x14ac:dyDescent="0.3">
      <c r="F14" s="12">
        <v>45572</v>
      </c>
      <c r="G14" s="6">
        <v>2060</v>
      </c>
      <c r="H14" s="16">
        <f t="shared" si="0"/>
        <v>-161.65</v>
      </c>
      <c r="I14" s="11">
        <f t="shared" si="1"/>
        <v>-70</v>
      </c>
      <c r="J14" s="11">
        <f t="shared" si="2"/>
        <v>-185320</v>
      </c>
      <c r="K14" s="14"/>
    </row>
    <row r="15" spans="1:11" x14ac:dyDescent="0.3">
      <c r="F15" s="12">
        <v>45573</v>
      </c>
      <c r="G15" s="6">
        <v>2125</v>
      </c>
      <c r="H15" s="16">
        <f t="shared" si="0"/>
        <v>-116.65</v>
      </c>
      <c r="I15" s="11">
        <f t="shared" si="1"/>
        <v>-90</v>
      </c>
      <c r="J15" s="11">
        <f t="shared" si="2"/>
        <v>-165320</v>
      </c>
      <c r="K15" s="14"/>
    </row>
    <row r="16" spans="1:11" x14ac:dyDescent="0.3">
      <c r="F16" s="12">
        <v>45574</v>
      </c>
      <c r="G16" s="6">
        <v>2104</v>
      </c>
      <c r="H16" s="16">
        <f t="shared" si="0"/>
        <v>-137.65</v>
      </c>
      <c r="I16" s="11">
        <f t="shared" si="1"/>
        <v>-90</v>
      </c>
      <c r="J16" s="11">
        <f t="shared" si="2"/>
        <v>-182120</v>
      </c>
      <c r="K16" s="14"/>
    </row>
    <row r="17" spans="6:11" x14ac:dyDescent="0.3">
      <c r="F17" s="12">
        <v>45575</v>
      </c>
      <c r="G17" s="6">
        <v>2085</v>
      </c>
      <c r="H17" s="16">
        <f t="shared" si="0"/>
        <v>-156.65</v>
      </c>
      <c r="I17" s="11">
        <f t="shared" si="1"/>
        <v>-90</v>
      </c>
      <c r="J17" s="11">
        <f t="shared" si="2"/>
        <v>-197320</v>
      </c>
      <c r="K17" s="14"/>
    </row>
    <row r="18" spans="6:11" x14ac:dyDescent="0.3">
      <c r="F18" s="12">
        <v>45576</v>
      </c>
      <c r="G18" s="6">
        <v>2086.8000000000002</v>
      </c>
      <c r="H18" s="16">
        <f t="shared" si="0"/>
        <v>-154.84999999999982</v>
      </c>
      <c r="I18" s="11">
        <f t="shared" si="1"/>
        <v>-90</v>
      </c>
      <c r="J18" s="11">
        <f t="shared" si="2"/>
        <v>-195879.99999999985</v>
      </c>
      <c r="K18" s="14"/>
    </row>
    <row r="19" spans="6:11" x14ac:dyDescent="0.3">
      <c r="F19" s="12">
        <v>45579</v>
      </c>
      <c r="G19" s="6">
        <v>2096</v>
      </c>
      <c r="H19" s="16">
        <f t="shared" si="0"/>
        <v>-145.65</v>
      </c>
      <c r="I19" s="11">
        <f t="shared" si="1"/>
        <v>-90</v>
      </c>
      <c r="J19" s="11">
        <f t="shared" si="2"/>
        <v>-188520</v>
      </c>
      <c r="K19" s="14"/>
    </row>
    <row r="20" spans="6:11" x14ac:dyDescent="0.3">
      <c r="F20" s="12">
        <v>45580</v>
      </c>
      <c r="G20" s="6">
        <v>2071.65</v>
      </c>
      <c r="H20" s="16">
        <f t="shared" si="0"/>
        <v>-161.65</v>
      </c>
      <c r="I20" s="11">
        <f t="shared" si="1"/>
        <v>-81.650000000000091</v>
      </c>
      <c r="J20" s="11">
        <f t="shared" si="2"/>
        <v>-194640.00000000009</v>
      </c>
      <c r="K20" s="14"/>
    </row>
    <row r="21" spans="6:11" x14ac:dyDescent="0.3">
      <c r="F21" s="12">
        <v>45581</v>
      </c>
      <c r="G21" s="6">
        <v>2031.65</v>
      </c>
      <c r="H21" s="16">
        <f t="shared" si="0"/>
        <v>-161.65</v>
      </c>
      <c r="I21" s="11">
        <f t="shared" si="1"/>
        <v>-41.650000000000091</v>
      </c>
      <c r="J21" s="11">
        <f t="shared" si="2"/>
        <v>-162640.00000000009</v>
      </c>
      <c r="K21" s="14"/>
    </row>
    <row r="22" spans="6:11" x14ac:dyDescent="0.3">
      <c r="F22" s="12">
        <v>45582</v>
      </c>
      <c r="G22" s="6">
        <v>1979.9</v>
      </c>
      <c r="H22" s="16">
        <f t="shared" si="0"/>
        <v>-161.65</v>
      </c>
      <c r="I22" s="11">
        <f t="shared" si="1"/>
        <v>10.099999999999909</v>
      </c>
      <c r="J22" s="11">
        <f t="shared" si="2"/>
        <v>-121240.00000000007</v>
      </c>
      <c r="K22" s="14"/>
    </row>
    <row r="23" spans="6:11" x14ac:dyDescent="0.3">
      <c r="F23" s="12">
        <v>45583</v>
      </c>
      <c r="G23" s="6">
        <v>1975</v>
      </c>
      <c r="H23" s="16">
        <f t="shared" si="0"/>
        <v>-161.65</v>
      </c>
      <c r="I23" s="11">
        <f t="shared" si="1"/>
        <v>15</v>
      </c>
      <c r="J23" s="11">
        <f t="shared" si="2"/>
        <v>-117320</v>
      </c>
      <c r="K23" s="14"/>
    </row>
    <row r="24" spans="6:11" x14ac:dyDescent="0.3">
      <c r="F24" s="12">
        <v>45586</v>
      </c>
      <c r="G24" s="6">
        <v>1961.45</v>
      </c>
      <c r="H24" s="16">
        <f t="shared" si="0"/>
        <v>-161.65</v>
      </c>
      <c r="I24" s="11">
        <f t="shared" si="1"/>
        <v>28.549999999999955</v>
      </c>
      <c r="J24" s="11">
        <f t="shared" si="2"/>
        <v>-106480.00000000004</v>
      </c>
      <c r="K24" s="14"/>
    </row>
    <row r="25" spans="6:11" x14ac:dyDescent="0.3">
      <c r="F25" s="12">
        <v>45587</v>
      </c>
      <c r="G25" s="6">
        <v>1945</v>
      </c>
      <c r="H25" s="16">
        <f t="shared" si="0"/>
        <v>-161.65</v>
      </c>
      <c r="I25" s="11">
        <f t="shared" si="1"/>
        <v>45</v>
      </c>
      <c r="J25" s="11">
        <f t="shared" si="2"/>
        <v>-93320</v>
      </c>
      <c r="K25" s="8"/>
    </row>
    <row r="26" spans="6:11" x14ac:dyDescent="0.3">
      <c r="F26" s="12">
        <v>45588</v>
      </c>
      <c r="G26" s="6">
        <v>1993.95</v>
      </c>
      <c r="H26" s="16">
        <f t="shared" si="0"/>
        <v>-161.65</v>
      </c>
      <c r="I26" s="11">
        <f t="shared" si="1"/>
        <v>-3.9500000000000455</v>
      </c>
      <c r="J26" s="11">
        <f t="shared" si="2"/>
        <v>-132480.00000000003</v>
      </c>
      <c r="K26" s="8"/>
    </row>
    <row r="27" spans="6:11" x14ac:dyDescent="0.3">
      <c r="F27" s="12">
        <v>45589</v>
      </c>
      <c r="G27" s="6">
        <v>1983.95</v>
      </c>
      <c r="H27" s="16">
        <f t="shared" si="0"/>
        <v>-161.65</v>
      </c>
      <c r="I27" s="11">
        <f t="shared" si="1"/>
        <v>6.0499999999999545</v>
      </c>
      <c r="J27" s="11">
        <f t="shared" si="2"/>
        <v>-124480.00000000004</v>
      </c>
      <c r="K27" s="8"/>
    </row>
    <row r="28" spans="6:11" x14ac:dyDescent="0.3">
      <c r="F28" s="12">
        <v>45590</v>
      </c>
      <c r="G28" s="6">
        <v>1971.95</v>
      </c>
      <c r="H28" s="16">
        <f t="shared" si="0"/>
        <v>-161.65</v>
      </c>
      <c r="I28" s="11">
        <f t="shared" si="1"/>
        <v>18.049999999999955</v>
      </c>
      <c r="J28" s="11">
        <f t="shared" si="2"/>
        <v>-114880.00000000004</v>
      </c>
      <c r="K28" s="8"/>
    </row>
    <row r="29" spans="6:11" x14ac:dyDescent="0.3">
      <c r="F29" s="12">
        <v>45593</v>
      </c>
      <c r="G29" s="6">
        <v>1944.9</v>
      </c>
      <c r="H29" s="16">
        <f t="shared" si="0"/>
        <v>-161.65</v>
      </c>
      <c r="I29" s="11">
        <f t="shared" si="1"/>
        <v>45.099999999999909</v>
      </c>
      <c r="J29" s="11">
        <f t="shared" si="2"/>
        <v>-93240.000000000073</v>
      </c>
      <c r="K29" s="8"/>
    </row>
    <row r="30" spans="6:11" x14ac:dyDescent="0.3">
      <c r="F30" s="12">
        <v>45594</v>
      </c>
      <c r="G30" s="6">
        <v>1930</v>
      </c>
      <c r="H30" s="16">
        <f t="shared" si="0"/>
        <v>-161.65</v>
      </c>
      <c r="I30" s="11">
        <f t="shared" si="1"/>
        <v>60</v>
      </c>
      <c r="J30" s="11">
        <f t="shared" si="2"/>
        <v>-81320</v>
      </c>
      <c r="K30" s="8"/>
    </row>
    <row r="31" spans="6:11" x14ac:dyDescent="0.3">
      <c r="F31" s="12">
        <v>45595</v>
      </c>
      <c r="G31" s="6">
        <v>1927.95</v>
      </c>
      <c r="H31" s="16">
        <f t="shared" si="0"/>
        <v>-161.65</v>
      </c>
      <c r="I31" s="11">
        <f t="shared" si="1"/>
        <v>62.049999999999955</v>
      </c>
      <c r="J31" s="11">
        <f t="shared" si="2"/>
        <v>-79680.000000000044</v>
      </c>
      <c r="K31" s="8"/>
    </row>
    <row r="32" spans="6:11" x14ac:dyDescent="0.3">
      <c r="F32" s="12">
        <v>45596</v>
      </c>
      <c r="G32" s="6">
        <v>1920.05</v>
      </c>
      <c r="H32" s="16">
        <f t="shared" si="0"/>
        <v>-161.65</v>
      </c>
      <c r="I32" s="11">
        <f t="shared" si="1"/>
        <v>69.950000000000045</v>
      </c>
      <c r="J32" s="11">
        <f t="shared" si="2"/>
        <v>-73359.999999999971</v>
      </c>
      <c r="K32" s="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9A02-E11A-433E-87DF-23A39A43290B}">
  <dimension ref="A1:K32"/>
  <sheetViews>
    <sheetView tabSelected="1" workbookViewId="0">
      <selection activeCell="R5" sqref="R5"/>
    </sheetView>
  </sheetViews>
  <sheetFormatPr defaultRowHeight="14.4" x14ac:dyDescent="0.3"/>
  <cols>
    <col min="6" max="6" width="11.5546875" customWidth="1"/>
  </cols>
  <sheetData>
    <row r="1" spans="1:11" ht="18" x14ac:dyDescent="0.35">
      <c r="A1" s="17" t="s">
        <v>47</v>
      </c>
      <c r="B1" s="2"/>
      <c r="C1" s="2"/>
    </row>
    <row r="3" spans="1:11" x14ac:dyDescent="0.3">
      <c r="A3" s="13" t="s">
        <v>30</v>
      </c>
      <c r="B3" s="13" t="s">
        <v>31</v>
      </c>
      <c r="C3" s="13" t="s">
        <v>32</v>
      </c>
      <c r="D3" s="13" t="s">
        <v>33</v>
      </c>
      <c r="E3" s="18"/>
    </row>
    <row r="4" spans="1:11" x14ac:dyDescent="0.3">
      <c r="A4" s="13" t="s">
        <v>34</v>
      </c>
      <c r="B4" s="13" t="s">
        <v>48</v>
      </c>
      <c r="C4" s="13">
        <v>2180</v>
      </c>
      <c r="D4" s="13">
        <v>54.75</v>
      </c>
      <c r="E4" s="18"/>
      <c r="F4" s="18"/>
    </row>
    <row r="5" spans="1:11" x14ac:dyDescent="0.3">
      <c r="A5" s="13" t="s">
        <v>35</v>
      </c>
      <c r="B5" s="13" t="s">
        <v>49</v>
      </c>
      <c r="C5" s="13">
        <v>2180</v>
      </c>
      <c r="D5" s="13">
        <v>173.64</v>
      </c>
      <c r="E5" s="18"/>
    </row>
    <row r="6" spans="1:11" x14ac:dyDescent="0.3">
      <c r="A6" s="8" t="s">
        <v>15</v>
      </c>
      <c r="B6" s="8">
        <f>B7*B8</f>
        <v>800</v>
      </c>
      <c r="F6" s="19" t="s">
        <v>16</v>
      </c>
      <c r="G6" s="19" t="s">
        <v>27</v>
      </c>
      <c r="H6" s="19" t="s">
        <v>50</v>
      </c>
      <c r="I6" s="19" t="s">
        <v>51</v>
      </c>
      <c r="J6" s="19" t="s">
        <v>20</v>
      </c>
      <c r="K6" s="14"/>
    </row>
    <row r="7" spans="1:11" x14ac:dyDescent="0.3">
      <c r="A7" s="8" t="s">
        <v>21</v>
      </c>
      <c r="B7" s="8">
        <v>2</v>
      </c>
      <c r="F7" s="12">
        <v>45560</v>
      </c>
      <c r="G7" s="6">
        <v>2134</v>
      </c>
      <c r="H7" s="16">
        <f>IF(G7&gt;$C$4,($C$4-G7)+$D$4,$D$4)</f>
        <v>54.75</v>
      </c>
      <c r="I7" s="11">
        <f>IF(G7&gt;$C$5,$D$5,(G7-$C$5)+$D$5)</f>
        <v>127.63999999999999</v>
      </c>
      <c r="J7" s="11">
        <f>(SUM(H7:I7))*$B$6</f>
        <v>145912</v>
      </c>
      <c r="K7" s="8"/>
    </row>
    <row r="8" spans="1:11" x14ac:dyDescent="0.3">
      <c r="A8" s="8" t="s">
        <v>22</v>
      </c>
      <c r="B8" s="8">
        <v>400</v>
      </c>
      <c r="F8" s="12">
        <v>45561</v>
      </c>
      <c r="G8" s="6">
        <v>2161</v>
      </c>
      <c r="H8" s="16">
        <f t="shared" ref="H8:H32" si="0">IF(G8&gt;$C$4,($C$4-G8)+$D$4,$D$4)</f>
        <v>54.75</v>
      </c>
      <c r="I8" s="11">
        <f>IF(G8&gt;$C$5,$D$5,(G8-$C$5)+$D$5)</f>
        <v>154.63999999999999</v>
      </c>
      <c r="J8" s="11">
        <f t="shared" ref="J8:J32" si="1">(SUM(H8:I8))*$B$6</f>
        <v>167512</v>
      </c>
      <c r="K8" s="14"/>
    </row>
    <row r="9" spans="1:11" x14ac:dyDescent="0.3">
      <c r="F9" s="12">
        <v>45562</v>
      </c>
      <c r="G9" s="6">
        <v>2174.3000000000002</v>
      </c>
      <c r="H9" s="16">
        <f t="shared" si="0"/>
        <v>54.75</v>
      </c>
      <c r="I9" s="11">
        <f t="shared" ref="I9:I32" si="2">IF(G9&gt;$C$5,$D$5,(G9-$C$5)+$D$5)</f>
        <v>167.94000000000017</v>
      </c>
      <c r="J9" s="11">
        <f t="shared" si="1"/>
        <v>178152.00000000015</v>
      </c>
      <c r="K9" s="14"/>
    </row>
    <row r="10" spans="1:11" x14ac:dyDescent="0.3">
      <c r="F10" s="12">
        <v>45565</v>
      </c>
      <c r="G10" s="6">
        <v>2170</v>
      </c>
      <c r="H10" s="16">
        <f t="shared" si="0"/>
        <v>54.75</v>
      </c>
      <c r="I10" s="11">
        <f t="shared" si="2"/>
        <v>163.63999999999999</v>
      </c>
      <c r="J10" s="11">
        <f t="shared" si="1"/>
        <v>174712</v>
      </c>
      <c r="K10" s="14"/>
    </row>
    <row r="11" spans="1:11" x14ac:dyDescent="0.3">
      <c r="F11" s="12">
        <v>45566</v>
      </c>
      <c r="G11" s="6">
        <v>2165</v>
      </c>
      <c r="H11" s="16">
        <f t="shared" si="0"/>
        <v>54.75</v>
      </c>
      <c r="I11" s="11">
        <f t="shared" si="2"/>
        <v>158.63999999999999</v>
      </c>
      <c r="J11" s="11">
        <f t="shared" si="1"/>
        <v>170712</v>
      </c>
      <c r="K11" s="14"/>
    </row>
    <row r="12" spans="1:11" x14ac:dyDescent="0.3">
      <c r="F12" s="12">
        <v>45568</v>
      </c>
      <c r="G12" s="6">
        <v>2138.15</v>
      </c>
      <c r="H12" s="16">
        <f t="shared" si="0"/>
        <v>54.75</v>
      </c>
      <c r="I12" s="11">
        <f t="shared" si="2"/>
        <v>131.79000000000008</v>
      </c>
      <c r="J12" s="11">
        <f t="shared" si="1"/>
        <v>149232.00000000006</v>
      </c>
      <c r="K12" s="14"/>
    </row>
    <row r="13" spans="1:11" x14ac:dyDescent="0.3">
      <c r="F13" s="12">
        <v>45569</v>
      </c>
      <c r="G13" s="6">
        <v>2110.6</v>
      </c>
      <c r="H13" s="16">
        <f t="shared" si="0"/>
        <v>54.75</v>
      </c>
      <c r="I13" s="11">
        <f t="shared" si="2"/>
        <v>104.2399999999999</v>
      </c>
      <c r="J13" s="11">
        <f t="shared" si="1"/>
        <v>127191.99999999991</v>
      </c>
      <c r="K13" s="14"/>
    </row>
    <row r="14" spans="1:11" x14ac:dyDescent="0.3">
      <c r="F14" s="12">
        <v>45572</v>
      </c>
      <c r="G14" s="6">
        <v>2060</v>
      </c>
      <c r="H14" s="16">
        <f t="shared" si="0"/>
        <v>54.75</v>
      </c>
      <c r="I14" s="11">
        <f t="shared" si="2"/>
        <v>53.639999999999986</v>
      </c>
      <c r="J14" s="11">
        <f t="shared" si="1"/>
        <v>86711.999999999985</v>
      </c>
      <c r="K14" s="14"/>
    </row>
    <row r="15" spans="1:11" x14ac:dyDescent="0.3">
      <c r="F15" s="12">
        <v>45573</v>
      </c>
      <c r="G15" s="6">
        <v>2125</v>
      </c>
      <c r="H15" s="16">
        <f t="shared" si="0"/>
        <v>54.75</v>
      </c>
      <c r="I15" s="11">
        <f t="shared" si="2"/>
        <v>118.63999999999999</v>
      </c>
      <c r="J15" s="11">
        <f t="shared" si="1"/>
        <v>138712</v>
      </c>
      <c r="K15" s="14"/>
    </row>
    <row r="16" spans="1:11" x14ac:dyDescent="0.3">
      <c r="F16" s="12">
        <v>45574</v>
      </c>
      <c r="G16" s="6">
        <v>2104</v>
      </c>
      <c r="H16" s="16">
        <f t="shared" si="0"/>
        <v>54.75</v>
      </c>
      <c r="I16" s="11">
        <f t="shared" si="2"/>
        <v>97.639999999999986</v>
      </c>
      <c r="J16" s="11">
        <f t="shared" si="1"/>
        <v>121911.99999999999</v>
      </c>
      <c r="K16" s="14"/>
    </row>
    <row r="17" spans="6:11" x14ac:dyDescent="0.3">
      <c r="F17" s="12">
        <v>45575</v>
      </c>
      <c r="G17" s="6">
        <v>2085</v>
      </c>
      <c r="H17" s="16">
        <f t="shared" si="0"/>
        <v>54.75</v>
      </c>
      <c r="I17" s="11">
        <f t="shared" si="2"/>
        <v>78.639999999999986</v>
      </c>
      <c r="J17" s="11">
        <f t="shared" si="1"/>
        <v>106711.99999999999</v>
      </c>
      <c r="K17" s="14"/>
    </row>
    <row r="18" spans="6:11" x14ac:dyDescent="0.3">
      <c r="F18" s="12">
        <v>45576</v>
      </c>
      <c r="G18" s="6">
        <v>2086.8000000000002</v>
      </c>
      <c r="H18" s="16">
        <f t="shared" si="0"/>
        <v>54.75</v>
      </c>
      <c r="I18" s="11">
        <f t="shared" si="2"/>
        <v>80.440000000000168</v>
      </c>
      <c r="J18" s="11">
        <f t="shared" si="1"/>
        <v>108152.00000000013</v>
      </c>
      <c r="K18" s="14"/>
    </row>
    <row r="19" spans="6:11" x14ac:dyDescent="0.3">
      <c r="F19" s="12">
        <v>45579</v>
      </c>
      <c r="G19" s="6">
        <v>2096</v>
      </c>
      <c r="H19" s="16">
        <f t="shared" si="0"/>
        <v>54.75</v>
      </c>
      <c r="I19" s="11">
        <f t="shared" si="2"/>
        <v>89.639999999999986</v>
      </c>
      <c r="J19" s="11">
        <f t="shared" si="1"/>
        <v>115511.99999999999</v>
      </c>
      <c r="K19" s="14"/>
    </row>
    <row r="20" spans="6:11" x14ac:dyDescent="0.3">
      <c r="F20" s="12">
        <v>45580</v>
      </c>
      <c r="G20" s="6">
        <v>2071.65</v>
      </c>
      <c r="H20" s="16">
        <f t="shared" si="0"/>
        <v>54.75</v>
      </c>
      <c r="I20" s="11">
        <f t="shared" si="2"/>
        <v>65.290000000000077</v>
      </c>
      <c r="J20" s="11">
        <f t="shared" si="1"/>
        <v>96032.000000000058</v>
      </c>
      <c r="K20" s="14"/>
    </row>
    <row r="21" spans="6:11" x14ac:dyDescent="0.3">
      <c r="F21" s="12">
        <v>45581</v>
      </c>
      <c r="G21" s="6">
        <v>2031.65</v>
      </c>
      <c r="H21" s="16">
        <f t="shared" si="0"/>
        <v>54.75</v>
      </c>
      <c r="I21" s="11">
        <f t="shared" si="2"/>
        <v>25.290000000000077</v>
      </c>
      <c r="J21" s="11">
        <f t="shared" si="1"/>
        <v>64032.000000000058</v>
      </c>
      <c r="K21" s="14"/>
    </row>
    <row r="22" spans="6:11" x14ac:dyDescent="0.3">
      <c r="F22" s="12">
        <v>45582</v>
      </c>
      <c r="G22" s="6">
        <v>1979.9</v>
      </c>
      <c r="H22" s="16">
        <f t="shared" si="0"/>
        <v>54.75</v>
      </c>
      <c r="I22" s="11">
        <f t="shared" si="2"/>
        <v>-26.459999999999923</v>
      </c>
      <c r="J22" s="11">
        <f t="shared" si="1"/>
        <v>22632.000000000062</v>
      </c>
      <c r="K22" s="14"/>
    </row>
    <row r="23" spans="6:11" x14ac:dyDescent="0.3">
      <c r="F23" s="12">
        <v>45583</v>
      </c>
      <c r="G23" s="6">
        <v>1975</v>
      </c>
      <c r="H23" s="16">
        <f t="shared" si="0"/>
        <v>54.75</v>
      </c>
      <c r="I23" s="11">
        <f t="shared" si="2"/>
        <v>-31.360000000000014</v>
      </c>
      <c r="J23" s="11">
        <f t="shared" si="1"/>
        <v>18711.999999999989</v>
      </c>
      <c r="K23" s="14"/>
    </row>
    <row r="24" spans="6:11" x14ac:dyDescent="0.3">
      <c r="F24" s="12">
        <v>45586</v>
      </c>
      <c r="G24" s="6">
        <v>1961.45</v>
      </c>
      <c r="H24" s="16">
        <f t="shared" si="0"/>
        <v>54.75</v>
      </c>
      <c r="I24" s="11">
        <f t="shared" si="2"/>
        <v>-44.909999999999968</v>
      </c>
      <c r="J24" s="11">
        <f t="shared" si="1"/>
        <v>7872.0000000000255</v>
      </c>
      <c r="K24" s="14"/>
    </row>
    <row r="25" spans="6:11" x14ac:dyDescent="0.3">
      <c r="F25" s="12">
        <v>45587</v>
      </c>
      <c r="G25" s="6">
        <v>1945</v>
      </c>
      <c r="H25" s="16">
        <f t="shared" si="0"/>
        <v>54.75</v>
      </c>
      <c r="I25" s="11">
        <f t="shared" si="2"/>
        <v>-61.360000000000014</v>
      </c>
      <c r="J25" s="11">
        <f t="shared" si="1"/>
        <v>-5288.0000000000109</v>
      </c>
      <c r="K25" s="8"/>
    </row>
    <row r="26" spans="6:11" x14ac:dyDescent="0.3">
      <c r="F26" s="12">
        <v>45588</v>
      </c>
      <c r="G26" s="6">
        <v>1993.95</v>
      </c>
      <c r="H26" s="16">
        <f t="shared" si="0"/>
        <v>54.75</v>
      </c>
      <c r="I26" s="11">
        <f t="shared" si="2"/>
        <v>-12.409999999999968</v>
      </c>
      <c r="J26" s="11">
        <f t="shared" si="1"/>
        <v>33872.000000000029</v>
      </c>
      <c r="K26" s="8"/>
    </row>
    <row r="27" spans="6:11" x14ac:dyDescent="0.3">
      <c r="F27" s="12">
        <v>45589</v>
      </c>
      <c r="G27" s="6">
        <v>1983.95</v>
      </c>
      <c r="H27" s="16">
        <f t="shared" si="0"/>
        <v>54.75</v>
      </c>
      <c r="I27" s="11">
        <f t="shared" si="2"/>
        <v>-22.409999999999968</v>
      </c>
      <c r="J27" s="11">
        <f t="shared" si="1"/>
        <v>25872.000000000025</v>
      </c>
      <c r="K27" s="8"/>
    </row>
    <row r="28" spans="6:11" x14ac:dyDescent="0.3">
      <c r="F28" s="12">
        <v>45590</v>
      </c>
      <c r="G28" s="6">
        <v>1971.95</v>
      </c>
      <c r="H28" s="16">
        <f t="shared" si="0"/>
        <v>54.75</v>
      </c>
      <c r="I28" s="11">
        <f t="shared" si="2"/>
        <v>-34.409999999999968</v>
      </c>
      <c r="J28" s="11">
        <f t="shared" si="1"/>
        <v>16272.000000000025</v>
      </c>
      <c r="K28" s="8"/>
    </row>
    <row r="29" spans="6:11" x14ac:dyDescent="0.3">
      <c r="F29" s="12">
        <v>45593</v>
      </c>
      <c r="G29" s="6">
        <v>1944.9</v>
      </c>
      <c r="H29" s="16">
        <f t="shared" si="0"/>
        <v>54.75</v>
      </c>
      <c r="I29" s="11">
        <f t="shared" si="2"/>
        <v>-61.459999999999923</v>
      </c>
      <c r="J29" s="11">
        <f t="shared" si="1"/>
        <v>-5367.9999999999382</v>
      </c>
      <c r="K29" s="8"/>
    </row>
    <row r="30" spans="6:11" x14ac:dyDescent="0.3">
      <c r="F30" s="12">
        <v>45594</v>
      </c>
      <c r="G30" s="6">
        <v>1930</v>
      </c>
      <c r="H30" s="16">
        <f t="shared" si="0"/>
        <v>54.75</v>
      </c>
      <c r="I30" s="11">
        <f t="shared" si="2"/>
        <v>-76.360000000000014</v>
      </c>
      <c r="J30" s="11">
        <f t="shared" si="1"/>
        <v>-17288.000000000011</v>
      </c>
      <c r="K30" s="8"/>
    </row>
    <row r="31" spans="6:11" x14ac:dyDescent="0.3">
      <c r="F31" s="12">
        <v>45595</v>
      </c>
      <c r="G31" s="6">
        <v>1927.95</v>
      </c>
      <c r="H31" s="16">
        <f t="shared" si="0"/>
        <v>54.75</v>
      </c>
      <c r="I31" s="11">
        <f t="shared" si="2"/>
        <v>-78.409999999999968</v>
      </c>
      <c r="J31" s="11">
        <f t="shared" si="1"/>
        <v>-18927.999999999975</v>
      </c>
      <c r="K31" s="8"/>
    </row>
    <row r="32" spans="6:11" x14ac:dyDescent="0.3">
      <c r="F32" s="12">
        <v>45596</v>
      </c>
      <c r="G32" s="6">
        <v>1920.05</v>
      </c>
      <c r="H32" s="16">
        <f t="shared" si="0"/>
        <v>54.75</v>
      </c>
      <c r="I32" s="11">
        <f t="shared" si="2"/>
        <v>-86.310000000000059</v>
      </c>
      <c r="J32" s="11">
        <f t="shared" si="1"/>
        <v>-25248.000000000047</v>
      </c>
      <c r="K32" s="8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3ABE-B071-4A64-9212-FCDD1DEF8557}">
  <dimension ref="A1:J33"/>
  <sheetViews>
    <sheetView workbookViewId="0">
      <selection activeCell="F7" sqref="F7:J7"/>
    </sheetView>
  </sheetViews>
  <sheetFormatPr defaultRowHeight="14.4" x14ac:dyDescent="0.3"/>
  <cols>
    <col min="6" max="6" width="11.33203125" customWidth="1"/>
  </cols>
  <sheetData>
    <row r="1" spans="1:10" ht="18" x14ac:dyDescent="0.35">
      <c r="A1" s="17" t="s">
        <v>52</v>
      </c>
      <c r="B1" s="2"/>
      <c r="C1" s="2"/>
    </row>
    <row r="4" spans="1:10" x14ac:dyDescent="0.3">
      <c r="A4" s="13" t="s">
        <v>30</v>
      </c>
      <c r="B4" s="13" t="s">
        <v>31</v>
      </c>
      <c r="C4" s="13" t="s">
        <v>32</v>
      </c>
      <c r="D4" s="13" t="s">
        <v>33</v>
      </c>
      <c r="E4" s="18"/>
    </row>
    <row r="5" spans="1:10" x14ac:dyDescent="0.3">
      <c r="A5" s="13" t="s">
        <v>34</v>
      </c>
      <c r="B5" s="13" t="s">
        <v>43</v>
      </c>
      <c r="C5" s="13">
        <v>2180</v>
      </c>
      <c r="D5" s="13">
        <v>54.75</v>
      </c>
      <c r="E5" s="18"/>
    </row>
    <row r="6" spans="1:10" x14ac:dyDescent="0.3">
      <c r="A6" s="13" t="s">
        <v>35</v>
      </c>
      <c r="B6" s="13" t="s">
        <v>44</v>
      </c>
      <c r="C6" s="13">
        <v>2080</v>
      </c>
      <c r="D6" s="13">
        <v>90</v>
      </c>
      <c r="E6" s="18"/>
    </row>
    <row r="7" spans="1:10" x14ac:dyDescent="0.3">
      <c r="A7" t="s">
        <v>53</v>
      </c>
      <c r="F7" s="19" t="s">
        <v>16</v>
      </c>
      <c r="G7" s="19" t="s">
        <v>27</v>
      </c>
      <c r="H7" s="19" t="s">
        <v>45</v>
      </c>
      <c r="I7" s="19" t="s">
        <v>46</v>
      </c>
      <c r="J7" s="19" t="s">
        <v>20</v>
      </c>
    </row>
    <row r="8" spans="1:10" x14ac:dyDescent="0.3">
      <c r="A8" s="8" t="s">
        <v>15</v>
      </c>
      <c r="B8" s="8">
        <f>B9*B10</f>
        <v>800</v>
      </c>
      <c r="F8" s="12">
        <v>45560</v>
      </c>
      <c r="G8" s="6">
        <v>2134</v>
      </c>
      <c r="H8" s="16">
        <f>IF(G8&gt;$C$5,(G8-$C$5)-$D$5,-$D$5)</f>
        <v>-54.75</v>
      </c>
      <c r="I8" s="11">
        <f>IF(G8&gt;$C$6,-$D$6,($C$6-G8)-$D$6)</f>
        <v>-90</v>
      </c>
      <c r="J8" s="11">
        <f>(SUM(H8:I8))*$B$8</f>
        <v>-115800</v>
      </c>
    </row>
    <row r="9" spans="1:10" x14ac:dyDescent="0.3">
      <c r="A9" s="8" t="s">
        <v>21</v>
      </c>
      <c r="B9" s="8">
        <v>2</v>
      </c>
      <c r="F9" s="12">
        <v>45561</v>
      </c>
      <c r="G9" s="6">
        <v>2161</v>
      </c>
      <c r="H9" s="16">
        <f t="shared" ref="H9:H33" si="0">IF(G9&gt;$C$5,(G9-$C$5)-$D$5,-$D$5)</f>
        <v>-54.75</v>
      </c>
      <c r="I9" s="11">
        <f t="shared" ref="I9:I33" si="1">IF(G9&gt;$C$6,-$D$6,($C$6-G9)-$D$6)</f>
        <v>-90</v>
      </c>
      <c r="J9" s="11">
        <f t="shared" ref="J9:J33" si="2">(SUM(H9:I9))*$B$8</f>
        <v>-115800</v>
      </c>
    </row>
    <row r="10" spans="1:10" x14ac:dyDescent="0.3">
      <c r="A10" s="8" t="s">
        <v>22</v>
      </c>
      <c r="B10" s="8">
        <v>400</v>
      </c>
      <c r="F10" s="12">
        <v>45562</v>
      </c>
      <c r="G10" s="6">
        <v>2174.3000000000002</v>
      </c>
      <c r="H10" s="16">
        <f t="shared" si="0"/>
        <v>-54.75</v>
      </c>
      <c r="I10" s="11">
        <f t="shared" si="1"/>
        <v>-90</v>
      </c>
      <c r="J10" s="11">
        <f t="shared" si="2"/>
        <v>-115800</v>
      </c>
    </row>
    <row r="11" spans="1:10" x14ac:dyDescent="0.3">
      <c r="F11" s="12">
        <v>45565</v>
      </c>
      <c r="G11" s="6">
        <v>2170</v>
      </c>
      <c r="H11" s="16">
        <f t="shared" si="0"/>
        <v>-54.75</v>
      </c>
      <c r="I11" s="11">
        <f t="shared" si="1"/>
        <v>-90</v>
      </c>
      <c r="J11" s="11">
        <f t="shared" si="2"/>
        <v>-115800</v>
      </c>
    </row>
    <row r="12" spans="1:10" x14ac:dyDescent="0.3">
      <c r="F12" s="12">
        <v>45566</v>
      </c>
      <c r="G12" s="6">
        <v>2165</v>
      </c>
      <c r="H12" s="16">
        <f t="shared" si="0"/>
        <v>-54.75</v>
      </c>
      <c r="I12" s="11">
        <f t="shared" si="1"/>
        <v>-90</v>
      </c>
      <c r="J12" s="11">
        <f t="shared" si="2"/>
        <v>-115800</v>
      </c>
    </row>
    <row r="13" spans="1:10" x14ac:dyDescent="0.3">
      <c r="F13" s="12">
        <v>45568</v>
      </c>
      <c r="G13" s="6">
        <v>2138.15</v>
      </c>
      <c r="H13" s="16">
        <f t="shared" si="0"/>
        <v>-54.75</v>
      </c>
      <c r="I13" s="11">
        <f t="shared" si="1"/>
        <v>-90</v>
      </c>
      <c r="J13" s="11">
        <f t="shared" si="2"/>
        <v>-115800</v>
      </c>
    </row>
    <row r="14" spans="1:10" x14ac:dyDescent="0.3">
      <c r="F14" s="12">
        <v>45569</v>
      </c>
      <c r="G14" s="6">
        <v>2110.6</v>
      </c>
      <c r="H14" s="16">
        <f t="shared" si="0"/>
        <v>-54.75</v>
      </c>
      <c r="I14" s="11">
        <f t="shared" si="1"/>
        <v>-90</v>
      </c>
      <c r="J14" s="11">
        <f t="shared" si="2"/>
        <v>-115800</v>
      </c>
    </row>
    <row r="15" spans="1:10" x14ac:dyDescent="0.3">
      <c r="F15" s="12">
        <v>45572</v>
      </c>
      <c r="G15" s="6">
        <v>2060</v>
      </c>
      <c r="H15" s="16">
        <f t="shared" si="0"/>
        <v>-54.75</v>
      </c>
      <c r="I15" s="11">
        <f t="shared" si="1"/>
        <v>-70</v>
      </c>
      <c r="J15" s="11">
        <f t="shared" si="2"/>
        <v>-99800</v>
      </c>
    </row>
    <row r="16" spans="1:10" x14ac:dyDescent="0.3">
      <c r="F16" s="12">
        <v>45573</v>
      </c>
      <c r="G16" s="6">
        <v>2125</v>
      </c>
      <c r="H16" s="16">
        <f t="shared" si="0"/>
        <v>-54.75</v>
      </c>
      <c r="I16" s="11">
        <f t="shared" si="1"/>
        <v>-90</v>
      </c>
      <c r="J16" s="11">
        <f t="shared" si="2"/>
        <v>-115800</v>
      </c>
    </row>
    <row r="17" spans="6:10" x14ac:dyDescent="0.3">
      <c r="F17" s="12">
        <v>45574</v>
      </c>
      <c r="G17" s="6">
        <v>2104</v>
      </c>
      <c r="H17" s="16">
        <f t="shared" si="0"/>
        <v>-54.75</v>
      </c>
      <c r="I17" s="11">
        <f t="shared" si="1"/>
        <v>-90</v>
      </c>
      <c r="J17" s="11">
        <f t="shared" si="2"/>
        <v>-115800</v>
      </c>
    </row>
    <row r="18" spans="6:10" x14ac:dyDescent="0.3">
      <c r="F18" s="12">
        <v>45575</v>
      </c>
      <c r="G18" s="6">
        <v>2085</v>
      </c>
      <c r="H18" s="16">
        <f t="shared" si="0"/>
        <v>-54.75</v>
      </c>
      <c r="I18" s="11">
        <f t="shared" si="1"/>
        <v>-90</v>
      </c>
      <c r="J18" s="11">
        <f t="shared" si="2"/>
        <v>-115800</v>
      </c>
    </row>
    <row r="19" spans="6:10" x14ac:dyDescent="0.3">
      <c r="F19" s="12">
        <v>45576</v>
      </c>
      <c r="G19" s="6">
        <v>2086.8000000000002</v>
      </c>
      <c r="H19" s="16">
        <f t="shared" si="0"/>
        <v>-54.75</v>
      </c>
      <c r="I19" s="11">
        <f t="shared" si="1"/>
        <v>-90</v>
      </c>
      <c r="J19" s="11">
        <f t="shared" si="2"/>
        <v>-115800</v>
      </c>
    </row>
    <row r="20" spans="6:10" x14ac:dyDescent="0.3">
      <c r="F20" s="12">
        <v>45579</v>
      </c>
      <c r="G20" s="6">
        <v>2096</v>
      </c>
      <c r="H20" s="16">
        <f t="shared" si="0"/>
        <v>-54.75</v>
      </c>
      <c r="I20" s="11">
        <f t="shared" si="1"/>
        <v>-90</v>
      </c>
      <c r="J20" s="11">
        <f t="shared" si="2"/>
        <v>-115800</v>
      </c>
    </row>
    <row r="21" spans="6:10" x14ac:dyDescent="0.3">
      <c r="F21" s="12">
        <v>45580</v>
      </c>
      <c r="G21" s="6">
        <v>2071.65</v>
      </c>
      <c r="H21" s="16">
        <f t="shared" si="0"/>
        <v>-54.75</v>
      </c>
      <c r="I21" s="11">
        <f t="shared" si="1"/>
        <v>-81.650000000000091</v>
      </c>
      <c r="J21" s="11">
        <f t="shared" si="2"/>
        <v>-109120.00000000007</v>
      </c>
    </row>
    <row r="22" spans="6:10" x14ac:dyDescent="0.3">
      <c r="F22" s="12">
        <v>45581</v>
      </c>
      <c r="G22" s="6">
        <v>2031.65</v>
      </c>
      <c r="H22" s="16">
        <f t="shared" si="0"/>
        <v>-54.75</v>
      </c>
      <c r="I22" s="11">
        <f t="shared" si="1"/>
        <v>-41.650000000000091</v>
      </c>
      <c r="J22" s="11">
        <f t="shared" si="2"/>
        <v>-77120.000000000073</v>
      </c>
    </row>
    <row r="23" spans="6:10" x14ac:dyDescent="0.3">
      <c r="F23" s="12">
        <v>45582</v>
      </c>
      <c r="G23" s="6">
        <v>1979.9</v>
      </c>
      <c r="H23" s="16">
        <f t="shared" si="0"/>
        <v>-54.75</v>
      </c>
      <c r="I23" s="11">
        <f t="shared" si="1"/>
        <v>10.099999999999909</v>
      </c>
      <c r="J23" s="11">
        <f t="shared" si="2"/>
        <v>-35720.000000000073</v>
      </c>
    </row>
    <row r="24" spans="6:10" x14ac:dyDescent="0.3">
      <c r="F24" s="12">
        <v>45583</v>
      </c>
      <c r="G24" s="6">
        <v>1975</v>
      </c>
      <c r="H24" s="16">
        <f t="shared" si="0"/>
        <v>-54.75</v>
      </c>
      <c r="I24" s="11">
        <f t="shared" si="1"/>
        <v>15</v>
      </c>
      <c r="J24" s="11">
        <f t="shared" si="2"/>
        <v>-31800</v>
      </c>
    </row>
    <row r="25" spans="6:10" x14ac:dyDescent="0.3">
      <c r="F25" s="12">
        <v>45586</v>
      </c>
      <c r="G25" s="6">
        <v>1961.45</v>
      </c>
      <c r="H25" s="16">
        <f t="shared" si="0"/>
        <v>-54.75</v>
      </c>
      <c r="I25" s="11">
        <f t="shared" si="1"/>
        <v>28.549999999999955</v>
      </c>
      <c r="J25" s="11">
        <f t="shared" si="2"/>
        <v>-20960.000000000036</v>
      </c>
    </row>
    <row r="26" spans="6:10" x14ac:dyDescent="0.3">
      <c r="F26" s="12">
        <v>45587</v>
      </c>
      <c r="G26" s="6">
        <v>1945</v>
      </c>
      <c r="H26" s="16">
        <f t="shared" si="0"/>
        <v>-54.75</v>
      </c>
      <c r="I26" s="11">
        <f t="shared" si="1"/>
        <v>45</v>
      </c>
      <c r="J26" s="11">
        <f t="shared" si="2"/>
        <v>-7800</v>
      </c>
    </row>
    <row r="27" spans="6:10" x14ac:dyDescent="0.3">
      <c r="F27" s="12">
        <v>45588</v>
      </c>
      <c r="G27" s="6">
        <v>1993.95</v>
      </c>
      <c r="H27" s="16">
        <f t="shared" si="0"/>
        <v>-54.75</v>
      </c>
      <c r="I27" s="11">
        <f t="shared" si="1"/>
        <v>-3.9500000000000455</v>
      </c>
      <c r="J27" s="11">
        <f t="shared" si="2"/>
        <v>-46960.000000000036</v>
      </c>
    </row>
    <row r="28" spans="6:10" x14ac:dyDescent="0.3">
      <c r="F28" s="12">
        <v>45589</v>
      </c>
      <c r="G28" s="6">
        <v>1983.95</v>
      </c>
      <c r="H28" s="16">
        <f t="shared" si="0"/>
        <v>-54.75</v>
      </c>
      <c r="I28" s="11">
        <f t="shared" si="1"/>
        <v>6.0499999999999545</v>
      </c>
      <c r="J28" s="11">
        <f t="shared" si="2"/>
        <v>-38960.000000000036</v>
      </c>
    </row>
    <row r="29" spans="6:10" x14ac:dyDescent="0.3">
      <c r="F29" s="12">
        <v>45590</v>
      </c>
      <c r="G29" s="6">
        <v>1971.95</v>
      </c>
      <c r="H29" s="16">
        <f t="shared" si="0"/>
        <v>-54.75</v>
      </c>
      <c r="I29" s="11">
        <f t="shared" si="1"/>
        <v>18.049999999999955</v>
      </c>
      <c r="J29" s="11">
        <f t="shared" si="2"/>
        <v>-29360.000000000036</v>
      </c>
    </row>
    <row r="30" spans="6:10" x14ac:dyDescent="0.3">
      <c r="F30" s="12">
        <v>45593</v>
      </c>
      <c r="G30" s="6">
        <v>1944.9</v>
      </c>
      <c r="H30" s="16">
        <f t="shared" si="0"/>
        <v>-54.75</v>
      </c>
      <c r="I30" s="11">
        <f t="shared" si="1"/>
        <v>45.099999999999909</v>
      </c>
      <c r="J30" s="11">
        <f t="shared" si="2"/>
        <v>-7720.0000000000728</v>
      </c>
    </row>
    <row r="31" spans="6:10" x14ac:dyDescent="0.3">
      <c r="F31" s="12">
        <v>45594</v>
      </c>
      <c r="G31" s="6">
        <v>1930</v>
      </c>
      <c r="H31" s="16">
        <f t="shared" si="0"/>
        <v>-54.75</v>
      </c>
      <c r="I31" s="11">
        <f t="shared" si="1"/>
        <v>60</v>
      </c>
      <c r="J31" s="11">
        <f t="shared" si="2"/>
        <v>4200</v>
      </c>
    </row>
    <row r="32" spans="6:10" x14ac:dyDescent="0.3">
      <c r="F32" s="12">
        <v>45595</v>
      </c>
      <c r="G32" s="6">
        <v>1927.95</v>
      </c>
      <c r="H32" s="16">
        <f t="shared" si="0"/>
        <v>-54.75</v>
      </c>
      <c r="I32" s="11">
        <f t="shared" si="1"/>
        <v>62.049999999999955</v>
      </c>
      <c r="J32" s="11">
        <f t="shared" si="2"/>
        <v>5839.9999999999636</v>
      </c>
    </row>
    <row r="33" spans="6:10" x14ac:dyDescent="0.3">
      <c r="F33" s="12">
        <v>45596</v>
      </c>
      <c r="G33" s="6">
        <v>1920.05</v>
      </c>
      <c r="H33" s="16">
        <f t="shared" si="0"/>
        <v>-54.75</v>
      </c>
      <c r="I33" s="11">
        <f t="shared" si="1"/>
        <v>69.950000000000045</v>
      </c>
      <c r="J33" s="11">
        <f t="shared" si="2"/>
        <v>12160.000000000036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19C4-BE59-4F41-9FF1-6DE2037ED142}">
  <dimension ref="A1:K32"/>
  <sheetViews>
    <sheetView workbookViewId="0">
      <selection activeCell="H5" sqref="H5"/>
    </sheetView>
  </sheetViews>
  <sheetFormatPr defaultRowHeight="14.4" x14ac:dyDescent="0.3"/>
  <cols>
    <col min="1" max="1" width="19.44140625" customWidth="1"/>
    <col min="6" max="6" width="10" customWidth="1"/>
    <col min="8" max="8" width="15.6640625" customWidth="1"/>
    <col min="9" max="9" width="16.6640625" customWidth="1"/>
  </cols>
  <sheetData>
    <row r="1" spans="1:11" ht="18" x14ac:dyDescent="0.35">
      <c r="A1" s="17" t="s">
        <v>54</v>
      </c>
      <c r="B1" s="2"/>
      <c r="C1" s="2"/>
    </row>
    <row r="3" spans="1:11" x14ac:dyDescent="0.3">
      <c r="A3" s="13" t="s">
        <v>30</v>
      </c>
      <c r="B3" s="13" t="s">
        <v>31</v>
      </c>
      <c r="C3" s="13" t="s">
        <v>32</v>
      </c>
      <c r="D3" s="13" t="s">
        <v>33</v>
      </c>
    </row>
    <row r="4" spans="1:11" x14ac:dyDescent="0.3">
      <c r="A4" s="13" t="s">
        <v>34</v>
      </c>
      <c r="B4" s="13" t="s">
        <v>48</v>
      </c>
      <c r="C4" s="13">
        <v>2180</v>
      </c>
      <c r="D4" s="13">
        <v>54.75</v>
      </c>
      <c r="E4" s="18"/>
    </row>
    <row r="5" spans="1:11" x14ac:dyDescent="0.3">
      <c r="A5" s="13" t="s">
        <v>35</v>
      </c>
      <c r="B5" s="13" t="s">
        <v>49</v>
      </c>
      <c r="C5" s="13">
        <v>2080</v>
      </c>
      <c r="D5" s="13">
        <v>90</v>
      </c>
      <c r="E5" s="18"/>
    </row>
    <row r="6" spans="1:11" x14ac:dyDescent="0.3">
      <c r="A6" t="s">
        <v>53</v>
      </c>
      <c r="F6" s="19" t="s">
        <v>16</v>
      </c>
      <c r="G6" s="19" t="s">
        <v>27</v>
      </c>
      <c r="H6" s="19" t="s">
        <v>50</v>
      </c>
      <c r="I6" s="19" t="s">
        <v>51</v>
      </c>
      <c r="J6" s="19" t="s">
        <v>20</v>
      </c>
      <c r="K6" s="14"/>
    </row>
    <row r="7" spans="1:11" x14ac:dyDescent="0.3">
      <c r="A7" s="8" t="s">
        <v>15</v>
      </c>
      <c r="B7" s="8">
        <f>B8*B9</f>
        <v>800</v>
      </c>
      <c r="F7" s="12">
        <v>45560</v>
      </c>
      <c r="G7" s="6">
        <v>2134</v>
      </c>
      <c r="H7" s="16">
        <f>IF(G7&gt;$C$4,($C$4-G7)+$D$4,$D$4)</f>
        <v>54.75</v>
      </c>
      <c r="I7" s="11">
        <f>IF(G7&gt;$C$5,$D$5,(G7-$C$5)+$D$5)</f>
        <v>90</v>
      </c>
      <c r="J7" s="11">
        <f>(SUM(H7:I7))*$B$7</f>
        <v>115800</v>
      </c>
      <c r="K7" s="8"/>
    </row>
    <row r="8" spans="1:11" x14ac:dyDescent="0.3">
      <c r="A8" s="8" t="s">
        <v>21</v>
      </c>
      <c r="B8" s="8">
        <v>2</v>
      </c>
      <c r="F8" s="12">
        <v>45561</v>
      </c>
      <c r="G8" s="6">
        <v>2161</v>
      </c>
      <c r="H8" s="16">
        <f t="shared" ref="H8:H32" si="0">IF(G8&gt;$C$4,($C$4-G8)+$D$4,$D$4)</f>
        <v>54.75</v>
      </c>
      <c r="I8" s="11">
        <f t="shared" ref="I8:I32" si="1">IF(G8&gt;$C$5,$D$5,(G8-$C$5)+$D$5)</f>
        <v>90</v>
      </c>
      <c r="J8" s="11">
        <f t="shared" ref="J8:J32" si="2">(SUM(H8:I8))*$B$7</f>
        <v>115800</v>
      </c>
      <c r="K8" s="14"/>
    </row>
    <row r="9" spans="1:11" x14ac:dyDescent="0.3">
      <c r="A9" s="8" t="s">
        <v>22</v>
      </c>
      <c r="B9" s="8">
        <v>400</v>
      </c>
      <c r="F9" s="12">
        <v>45562</v>
      </c>
      <c r="G9" s="6">
        <v>2174.3000000000002</v>
      </c>
      <c r="H9" s="16">
        <f t="shared" si="0"/>
        <v>54.75</v>
      </c>
      <c r="I9" s="11">
        <f t="shared" si="1"/>
        <v>90</v>
      </c>
      <c r="J9" s="11">
        <f t="shared" si="2"/>
        <v>115800</v>
      </c>
      <c r="K9" s="14"/>
    </row>
    <row r="10" spans="1:11" x14ac:dyDescent="0.3">
      <c r="A10" s="8"/>
      <c r="B10" s="8"/>
      <c r="F10" s="12">
        <v>45565</v>
      </c>
      <c r="G10" s="6">
        <v>2170</v>
      </c>
      <c r="H10" s="16">
        <f t="shared" si="0"/>
        <v>54.75</v>
      </c>
      <c r="I10" s="11">
        <f t="shared" si="1"/>
        <v>90</v>
      </c>
      <c r="J10" s="11">
        <f t="shared" si="2"/>
        <v>115800</v>
      </c>
      <c r="K10" s="14"/>
    </row>
    <row r="11" spans="1:11" x14ac:dyDescent="0.3">
      <c r="A11" s="8"/>
      <c r="B11" s="8"/>
      <c r="F11" s="12">
        <v>45566</v>
      </c>
      <c r="G11" s="6">
        <v>2165</v>
      </c>
      <c r="H11" s="16">
        <f t="shared" si="0"/>
        <v>54.75</v>
      </c>
      <c r="I11" s="11">
        <f t="shared" si="1"/>
        <v>90</v>
      </c>
      <c r="J11" s="11">
        <f t="shared" si="2"/>
        <v>115800</v>
      </c>
      <c r="K11" s="14"/>
    </row>
    <row r="12" spans="1:11" x14ac:dyDescent="0.3">
      <c r="F12" s="12">
        <v>45568</v>
      </c>
      <c r="G12" s="6">
        <v>2138.15</v>
      </c>
      <c r="H12" s="16">
        <f t="shared" si="0"/>
        <v>54.75</v>
      </c>
      <c r="I12" s="11">
        <f t="shared" si="1"/>
        <v>90</v>
      </c>
      <c r="J12" s="11">
        <f t="shared" si="2"/>
        <v>115800</v>
      </c>
      <c r="K12" s="14"/>
    </row>
    <row r="13" spans="1:11" x14ac:dyDescent="0.3">
      <c r="F13" s="12">
        <v>45569</v>
      </c>
      <c r="G13" s="6">
        <v>2110.6</v>
      </c>
      <c r="H13" s="16">
        <f t="shared" si="0"/>
        <v>54.75</v>
      </c>
      <c r="I13" s="11">
        <f t="shared" si="1"/>
        <v>90</v>
      </c>
      <c r="J13" s="11">
        <f t="shared" si="2"/>
        <v>115800</v>
      </c>
      <c r="K13" s="14"/>
    </row>
    <row r="14" spans="1:11" x14ac:dyDescent="0.3">
      <c r="F14" s="12">
        <v>45572</v>
      </c>
      <c r="G14" s="6">
        <v>2060</v>
      </c>
      <c r="H14" s="16">
        <f t="shared" si="0"/>
        <v>54.75</v>
      </c>
      <c r="I14" s="11">
        <f t="shared" si="1"/>
        <v>70</v>
      </c>
      <c r="J14" s="11">
        <f t="shared" si="2"/>
        <v>99800</v>
      </c>
      <c r="K14" s="14"/>
    </row>
    <row r="15" spans="1:11" x14ac:dyDescent="0.3">
      <c r="F15" s="12">
        <v>45573</v>
      </c>
      <c r="G15" s="6">
        <v>2125</v>
      </c>
      <c r="H15" s="16">
        <f t="shared" si="0"/>
        <v>54.75</v>
      </c>
      <c r="I15" s="11">
        <f t="shared" si="1"/>
        <v>90</v>
      </c>
      <c r="J15" s="11">
        <f t="shared" si="2"/>
        <v>115800</v>
      </c>
      <c r="K15" s="14"/>
    </row>
    <row r="16" spans="1:11" x14ac:dyDescent="0.3">
      <c r="F16" s="12">
        <v>45574</v>
      </c>
      <c r="G16" s="6">
        <v>2104</v>
      </c>
      <c r="H16" s="16">
        <f t="shared" si="0"/>
        <v>54.75</v>
      </c>
      <c r="I16" s="11">
        <f t="shared" si="1"/>
        <v>90</v>
      </c>
      <c r="J16" s="11">
        <f t="shared" si="2"/>
        <v>115800</v>
      </c>
      <c r="K16" s="14"/>
    </row>
    <row r="17" spans="6:11" x14ac:dyDescent="0.3">
      <c r="F17" s="12">
        <v>45575</v>
      </c>
      <c r="G17" s="6">
        <v>2085</v>
      </c>
      <c r="H17" s="16">
        <f t="shared" si="0"/>
        <v>54.75</v>
      </c>
      <c r="I17" s="11">
        <f t="shared" si="1"/>
        <v>90</v>
      </c>
      <c r="J17" s="11">
        <f t="shared" si="2"/>
        <v>115800</v>
      </c>
      <c r="K17" s="14"/>
    </row>
    <row r="18" spans="6:11" x14ac:dyDescent="0.3">
      <c r="F18" s="12">
        <v>45576</v>
      </c>
      <c r="G18" s="6">
        <v>2086.8000000000002</v>
      </c>
      <c r="H18" s="16">
        <f t="shared" si="0"/>
        <v>54.75</v>
      </c>
      <c r="I18" s="11">
        <f t="shared" si="1"/>
        <v>90</v>
      </c>
      <c r="J18" s="11">
        <f t="shared" si="2"/>
        <v>115800</v>
      </c>
      <c r="K18" s="14"/>
    </row>
    <row r="19" spans="6:11" x14ac:dyDescent="0.3">
      <c r="F19" s="12">
        <v>45579</v>
      </c>
      <c r="G19" s="6">
        <v>2096</v>
      </c>
      <c r="H19" s="16">
        <f t="shared" si="0"/>
        <v>54.75</v>
      </c>
      <c r="I19" s="11">
        <f t="shared" si="1"/>
        <v>90</v>
      </c>
      <c r="J19" s="11">
        <f t="shared" si="2"/>
        <v>115800</v>
      </c>
      <c r="K19" s="14"/>
    </row>
    <row r="20" spans="6:11" x14ac:dyDescent="0.3">
      <c r="F20" s="12">
        <v>45580</v>
      </c>
      <c r="G20" s="6">
        <v>2071.65</v>
      </c>
      <c r="H20" s="16">
        <f t="shared" si="0"/>
        <v>54.75</v>
      </c>
      <c r="I20" s="11">
        <f t="shared" si="1"/>
        <v>81.650000000000091</v>
      </c>
      <c r="J20" s="11">
        <f t="shared" si="2"/>
        <v>109120.00000000007</v>
      </c>
      <c r="K20" s="14"/>
    </row>
    <row r="21" spans="6:11" x14ac:dyDescent="0.3">
      <c r="F21" s="12">
        <v>45581</v>
      </c>
      <c r="G21" s="6">
        <v>2031.65</v>
      </c>
      <c r="H21" s="16">
        <f t="shared" si="0"/>
        <v>54.75</v>
      </c>
      <c r="I21" s="11">
        <f t="shared" si="1"/>
        <v>41.650000000000091</v>
      </c>
      <c r="J21" s="11">
        <f t="shared" si="2"/>
        <v>77120.000000000073</v>
      </c>
      <c r="K21" s="14"/>
    </row>
    <row r="22" spans="6:11" x14ac:dyDescent="0.3">
      <c r="F22" s="12">
        <v>45582</v>
      </c>
      <c r="G22" s="6">
        <v>1979.9</v>
      </c>
      <c r="H22" s="16">
        <f t="shared" si="0"/>
        <v>54.75</v>
      </c>
      <c r="I22" s="11">
        <f t="shared" si="1"/>
        <v>-10.099999999999909</v>
      </c>
      <c r="J22" s="11">
        <f t="shared" si="2"/>
        <v>35720.000000000073</v>
      </c>
      <c r="K22" s="14"/>
    </row>
    <row r="23" spans="6:11" x14ac:dyDescent="0.3">
      <c r="F23" s="12">
        <v>45583</v>
      </c>
      <c r="G23" s="6">
        <v>1975</v>
      </c>
      <c r="H23" s="16">
        <f t="shared" si="0"/>
        <v>54.75</v>
      </c>
      <c r="I23" s="11">
        <f t="shared" si="1"/>
        <v>-15</v>
      </c>
      <c r="J23" s="11">
        <f t="shared" si="2"/>
        <v>31800</v>
      </c>
      <c r="K23" s="14"/>
    </row>
    <row r="24" spans="6:11" x14ac:dyDescent="0.3">
      <c r="F24" s="12">
        <v>45586</v>
      </c>
      <c r="G24" s="6">
        <v>1961.45</v>
      </c>
      <c r="H24" s="16">
        <f t="shared" si="0"/>
        <v>54.75</v>
      </c>
      <c r="I24" s="11">
        <f t="shared" si="1"/>
        <v>-28.549999999999955</v>
      </c>
      <c r="J24" s="11">
        <f t="shared" si="2"/>
        <v>20960.000000000036</v>
      </c>
      <c r="K24" s="14"/>
    </row>
    <row r="25" spans="6:11" x14ac:dyDescent="0.3">
      <c r="F25" s="12">
        <v>45587</v>
      </c>
      <c r="G25" s="6">
        <v>1945</v>
      </c>
      <c r="H25" s="16">
        <f t="shared" si="0"/>
        <v>54.75</v>
      </c>
      <c r="I25" s="11">
        <f t="shared" si="1"/>
        <v>-45</v>
      </c>
      <c r="J25" s="11">
        <f t="shared" si="2"/>
        <v>7800</v>
      </c>
      <c r="K25" s="8"/>
    </row>
    <row r="26" spans="6:11" x14ac:dyDescent="0.3">
      <c r="F26" s="12">
        <v>45588</v>
      </c>
      <c r="G26" s="6">
        <v>1993.95</v>
      </c>
      <c r="H26" s="16">
        <f t="shared" si="0"/>
        <v>54.75</v>
      </c>
      <c r="I26" s="11">
        <f t="shared" si="1"/>
        <v>3.9500000000000455</v>
      </c>
      <c r="J26" s="11">
        <f t="shared" si="2"/>
        <v>46960.000000000036</v>
      </c>
      <c r="K26" s="8"/>
    </row>
    <row r="27" spans="6:11" x14ac:dyDescent="0.3">
      <c r="F27" s="12">
        <v>45589</v>
      </c>
      <c r="G27" s="6">
        <v>1983.95</v>
      </c>
      <c r="H27" s="16">
        <f t="shared" si="0"/>
        <v>54.75</v>
      </c>
      <c r="I27" s="11">
        <f t="shared" si="1"/>
        <v>-6.0499999999999545</v>
      </c>
      <c r="J27" s="11">
        <f t="shared" si="2"/>
        <v>38960.000000000036</v>
      </c>
      <c r="K27" s="8"/>
    </row>
    <row r="28" spans="6:11" x14ac:dyDescent="0.3">
      <c r="F28" s="12">
        <v>45590</v>
      </c>
      <c r="G28" s="6">
        <v>1971.95</v>
      </c>
      <c r="H28" s="16">
        <f t="shared" si="0"/>
        <v>54.75</v>
      </c>
      <c r="I28" s="11">
        <f t="shared" si="1"/>
        <v>-18.049999999999955</v>
      </c>
      <c r="J28" s="11">
        <f t="shared" si="2"/>
        <v>29360.000000000036</v>
      </c>
      <c r="K28" s="8"/>
    </row>
    <row r="29" spans="6:11" x14ac:dyDescent="0.3">
      <c r="F29" s="12">
        <v>45593</v>
      </c>
      <c r="G29" s="6">
        <v>1944.9</v>
      </c>
      <c r="H29" s="16">
        <f t="shared" si="0"/>
        <v>54.75</v>
      </c>
      <c r="I29" s="11">
        <f t="shared" si="1"/>
        <v>-45.099999999999909</v>
      </c>
      <c r="J29" s="11">
        <f t="shared" si="2"/>
        <v>7720.0000000000728</v>
      </c>
      <c r="K29" s="8"/>
    </row>
    <row r="30" spans="6:11" x14ac:dyDescent="0.3">
      <c r="F30" s="12">
        <v>45594</v>
      </c>
      <c r="G30" s="6">
        <v>1930</v>
      </c>
      <c r="H30" s="16">
        <f t="shared" si="0"/>
        <v>54.75</v>
      </c>
      <c r="I30" s="11">
        <f t="shared" si="1"/>
        <v>-60</v>
      </c>
      <c r="J30" s="11">
        <f t="shared" si="2"/>
        <v>-4200</v>
      </c>
      <c r="K30" s="8"/>
    </row>
    <row r="31" spans="6:11" x14ac:dyDescent="0.3">
      <c r="F31" s="12">
        <v>45595</v>
      </c>
      <c r="G31" s="6">
        <v>1927.95</v>
      </c>
      <c r="H31" s="16">
        <f t="shared" si="0"/>
        <v>54.75</v>
      </c>
      <c r="I31" s="11">
        <f t="shared" si="1"/>
        <v>-62.049999999999955</v>
      </c>
      <c r="J31" s="11">
        <f t="shared" si="2"/>
        <v>-5839.9999999999636</v>
      </c>
      <c r="K31" s="8"/>
    </row>
    <row r="32" spans="6:11" x14ac:dyDescent="0.3">
      <c r="F32" s="12">
        <v>45596</v>
      </c>
      <c r="G32" s="6">
        <v>1920.05</v>
      </c>
      <c r="H32" s="16">
        <f t="shared" si="0"/>
        <v>54.75</v>
      </c>
      <c r="I32" s="11">
        <f t="shared" si="1"/>
        <v>-69.950000000000045</v>
      </c>
      <c r="J32" s="11">
        <f t="shared" si="2"/>
        <v>-12160.000000000036</v>
      </c>
      <c r="K32" s="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f1c19686-0dab-4815-aca3-2d7a3fc98bd8" xsi:nil="true"/>
    <TaxCatchAll xmlns="0e8aff55-cbca-4cd6-957d-353420bacac5" xsi:nil="true"/>
    <lcf76f155ced4ddcb4097134ff3c332f xmlns="f1c19686-0dab-4815-aca3-2d7a3fc98bd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1F74CE264749919EFC7D679FD141" ma:contentTypeVersion="14" ma:contentTypeDescription="Create a new document." ma:contentTypeScope="" ma:versionID="86c7b2763774fb6b34b66d8b915ff770">
  <xsd:schema xmlns:xsd="http://www.w3.org/2001/XMLSchema" xmlns:xs="http://www.w3.org/2001/XMLSchema" xmlns:p="http://schemas.microsoft.com/office/2006/metadata/properties" xmlns:ns2="f1c19686-0dab-4815-aca3-2d7a3fc98bd8" xmlns:ns3="0e8aff55-cbca-4cd6-957d-353420bacac5" targetNamespace="http://schemas.microsoft.com/office/2006/metadata/properties" ma:root="true" ma:fieldsID="558a22c69394fe2abcd2b764394e423a" ns2:_="" ns3:_="">
    <xsd:import namespace="f1c19686-0dab-4815-aca3-2d7a3fc98bd8"/>
    <xsd:import namespace="0e8aff55-cbca-4cd6-957d-353420bacac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19686-0dab-4815-aca3-2d7a3fc98bd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765a431-9415-4219-9cd0-5363948861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8aff55-cbca-4cd6-957d-353420bacac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b673dc3-136a-43fc-895a-9a8cfa48b264}" ma:internalName="TaxCatchAll" ma:showField="CatchAllData" ma:web="0e8aff55-cbca-4cd6-957d-353420baca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BDD5CE-EED2-4122-A00C-1A08E023B6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363CB9-AA5C-4678-AA8C-8A8E8996540D}">
  <ds:schemaRefs>
    <ds:schemaRef ds:uri="http://schemas.microsoft.com/office/2006/metadata/properties"/>
    <ds:schemaRef ds:uri="http://schemas.microsoft.com/office/infopath/2007/PartnerControls"/>
    <ds:schemaRef ds:uri="f1c19686-0dab-4815-aca3-2d7a3fc98bd8"/>
    <ds:schemaRef ds:uri="0e8aff55-cbca-4cd6-957d-353420bacac5"/>
  </ds:schemaRefs>
</ds:datastoreItem>
</file>

<file path=customXml/itemProps3.xml><?xml version="1.0" encoding="utf-8"?>
<ds:datastoreItem xmlns:ds="http://schemas.openxmlformats.org/officeDocument/2006/customXml" ds:itemID="{F683A62E-25D6-47AB-8273-A2C50CC49B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c19686-0dab-4815-aca3-2d7a3fc98bd8"/>
    <ds:schemaRef ds:uri="0e8aff55-cbca-4cd6-957d-353420baca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Record Data</vt:lpstr>
      <vt:lpstr>Covered Call</vt:lpstr>
      <vt:lpstr>Protective Put</vt:lpstr>
      <vt:lpstr>Bull Call Spread</vt:lpstr>
      <vt:lpstr>Bull Put Spread</vt:lpstr>
      <vt:lpstr>Bear Call Spread</vt:lpstr>
      <vt:lpstr>Bear Put Spread</vt:lpstr>
      <vt:lpstr>Long Straddle</vt:lpstr>
      <vt:lpstr>Short Straddle</vt:lpstr>
      <vt:lpstr>Long Strangle</vt:lpstr>
      <vt:lpstr>Short Strangle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Dolly Oza</dc:creator>
  <cp:keywords/>
  <dc:description/>
  <cp:lastModifiedBy>Dolly Oza</cp:lastModifiedBy>
  <cp:revision/>
  <dcterms:created xsi:type="dcterms:W3CDTF">2024-09-27T16:12:47Z</dcterms:created>
  <dcterms:modified xsi:type="dcterms:W3CDTF">2025-12-15T07:09:03Z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0x01010013B61F74CE264749919EFC7D679FD141</vt:lpwstr>
  </property>
</Properties>
</file>